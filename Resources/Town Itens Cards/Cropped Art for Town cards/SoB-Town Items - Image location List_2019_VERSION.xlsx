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8_{7932CC70-D1B3-4AF6-82E1-7B32C635AAF7}" xr6:coauthVersionLast="40" xr6:coauthVersionMax="40" xr10:uidLastSave="{00000000-0000-0000-0000-000000000000}"/>
  <bookViews>
    <workbookView xWindow="-37640" yWindow="760" windowWidth="35720" windowHeight="15460" xr2:uid="{00000000-000D-0000-FFFF-FFFF00000000}"/>
  </bookViews>
  <sheets>
    <sheet name="CORE SETS" sheetId="1" r:id="rId1"/>
    <sheet name="FRONTIER TOWN" sheetId="4" r:id="rId2"/>
  </sheets>
  <calcPr calcId="181029"/>
</workbook>
</file>

<file path=xl/calcChain.xml><?xml version="1.0" encoding="utf-8"?>
<calcChain xmlns="http://schemas.openxmlformats.org/spreadsheetml/2006/main">
  <c r="D120" i="4" l="1"/>
  <c r="C120" i="4"/>
  <c r="A81" i="4"/>
  <c r="A66" i="4"/>
  <c r="A51" i="4"/>
  <c r="A40" i="4"/>
  <c r="A18" i="4"/>
  <c r="A5" i="4"/>
  <c r="A9" i="1"/>
  <c r="A78" i="1"/>
  <c r="A63" i="1"/>
  <c r="A52" i="1"/>
  <c r="A38" i="1"/>
  <c r="A5" i="1"/>
  <c r="C143" i="1"/>
  <c r="D143" i="1"/>
  <c r="A134" i="1" s="1"/>
  <c r="A122" i="1" l="1"/>
  <c r="A128" i="1"/>
  <c r="A92" i="1"/>
  <c r="A116" i="1"/>
</calcChain>
</file>

<file path=xl/sharedStrings.xml><?xml version="1.0" encoding="utf-8"?>
<sst xmlns="http://schemas.openxmlformats.org/spreadsheetml/2006/main" count="1007" uniqueCount="372">
  <si>
    <t>TOWN LOCATION</t>
  </si>
  <si>
    <t>HOTEL</t>
  </si>
  <si>
    <t>CAMPSITE</t>
  </si>
  <si>
    <t>NAME</t>
  </si>
  <si>
    <t>Bandages</t>
  </si>
  <si>
    <t>COST</t>
  </si>
  <si>
    <t>KEYWORDS</t>
  </si>
  <si>
    <t>Gear, Bandages, Tokens</t>
  </si>
  <si>
    <t>ART</t>
  </si>
  <si>
    <t>OTHER ART LOCATION 1</t>
  </si>
  <si>
    <t>OTHER ART LOCATION 2</t>
  </si>
  <si>
    <t>Healing Herbs</t>
  </si>
  <si>
    <t>Gear, Plant, Tokens</t>
  </si>
  <si>
    <t>Yes</t>
  </si>
  <si>
    <t>Tonic</t>
  </si>
  <si>
    <t>Gear, Tonic, Tokens</t>
  </si>
  <si>
    <t>Specimen Jar</t>
  </si>
  <si>
    <t>Gear, Glass, Science</t>
  </si>
  <si>
    <t>no</t>
  </si>
  <si>
    <t>Bone Saw</t>
  </si>
  <si>
    <t>Gear, Hand Weapon</t>
  </si>
  <si>
    <t>Tools of Science</t>
  </si>
  <si>
    <t>Gear, Hand Weapon, Science</t>
  </si>
  <si>
    <t>Field Surgeon's Apron</t>
  </si>
  <si>
    <t>Gear, Clothing, Torso</t>
  </si>
  <si>
    <t>Injections</t>
  </si>
  <si>
    <t>Healing Supplies</t>
  </si>
  <si>
    <t>Anti-Venom Injection</t>
  </si>
  <si>
    <t>Sycorath Injection</t>
  </si>
  <si>
    <t>Void Vapor Injection</t>
  </si>
  <si>
    <t>Dark Stone Injection</t>
  </si>
  <si>
    <t>Boost, Injection</t>
  </si>
  <si>
    <t>Boost, Injection, Void</t>
  </si>
  <si>
    <t>Boost, Injection, DarkStone</t>
  </si>
  <si>
    <t>Location Event (12)</t>
  </si>
  <si>
    <t>Unique Forging</t>
  </si>
  <si>
    <t>Free</t>
  </si>
  <si>
    <t>n/a</t>
  </si>
  <si>
    <t>Transport</t>
  </si>
  <si>
    <t>Fast Horse</t>
  </si>
  <si>
    <t>Cavalry Horse</t>
  </si>
  <si>
    <t>RESTRICTIONS</t>
  </si>
  <si>
    <t>none</t>
  </si>
  <si>
    <t>NOTES</t>
  </si>
  <si>
    <t>Free Attack</t>
  </si>
  <si>
    <t>Transport, Animal</t>
  </si>
  <si>
    <t>Indian Horse</t>
  </si>
  <si>
    <t>Spitfire Horse</t>
  </si>
  <si>
    <t>Mustang</t>
  </si>
  <si>
    <t>Stage Coach</t>
  </si>
  <si>
    <t>Transport, Animal, Cart</t>
  </si>
  <si>
    <t>1 Per Posse</t>
  </si>
  <si>
    <t>Stage under attack art?</t>
  </si>
  <si>
    <t>Dark Stone Items &amp; Equipment</t>
  </si>
  <si>
    <t>Tomb Chest</t>
  </si>
  <si>
    <t>Dark Stone Bullets</t>
  </si>
  <si>
    <t>COST DS</t>
  </si>
  <si>
    <t>Dark Stone Buckle</t>
  </si>
  <si>
    <t>Gear, Container</t>
  </si>
  <si>
    <t>Gear, Dark Stone, Ammo</t>
  </si>
  <si>
    <t>Gear, Dark Stone, Clothing, Belt</t>
  </si>
  <si>
    <t>Void Plate</t>
  </si>
  <si>
    <t>Void Hammer</t>
  </si>
  <si>
    <t>Gear, Dark Stone, Clothing, Torso, Void</t>
  </si>
  <si>
    <t>Gear, Dark Stone, Hand Weapon, Void</t>
  </si>
  <si>
    <t>1 Transport</t>
  </si>
  <si>
    <t>Dark Stone Inlay</t>
  </si>
  <si>
    <t>Dark Stone Grip</t>
  </si>
  <si>
    <t>Dark Stone Barrel</t>
  </si>
  <si>
    <t>Void Assembly</t>
  </si>
  <si>
    <t>Dark Stone Horse Shoes</t>
  </si>
  <si>
    <t>Rune of Protection</t>
  </si>
  <si>
    <t>Rune of Fortitude</t>
  </si>
  <si>
    <t>Rune of Regeneration</t>
  </si>
  <si>
    <t>Upgrade, Dark Stone</t>
  </si>
  <si>
    <t>Upgrade, Dark Stone, Void</t>
  </si>
  <si>
    <t>Upgrade, Rune</t>
  </si>
  <si>
    <t>Maybe</t>
  </si>
  <si>
    <t>Dark Stone Forge - Upgrades</t>
  </si>
  <si>
    <t>CARDS NEEDED?</t>
  </si>
  <si>
    <t>Purchase Items</t>
  </si>
  <si>
    <t>Whisky</t>
  </si>
  <si>
    <t>Cask</t>
  </si>
  <si>
    <t>Lucky Dice</t>
  </si>
  <si>
    <t>Gear, Whisky, Token</t>
  </si>
  <si>
    <t>Gear, Charm</t>
  </si>
  <si>
    <t>Perfume</t>
  </si>
  <si>
    <t>Dark Stone Shiv</t>
  </si>
  <si>
    <t>Boned Corset</t>
  </si>
  <si>
    <t>Dark Stone Corset</t>
  </si>
  <si>
    <t>Tiny Hat</t>
  </si>
  <si>
    <t>Saloon Girl Only</t>
  </si>
  <si>
    <t>War Stories</t>
  </si>
  <si>
    <t>Location Event (11)</t>
  </si>
  <si>
    <t>free</t>
  </si>
  <si>
    <t>reroll</t>
  </si>
  <si>
    <t>Deputized</t>
  </si>
  <si>
    <t>Gain Law, Lose Outlaw</t>
  </si>
  <si>
    <t>Bounties</t>
  </si>
  <si>
    <t>Already have cards</t>
  </si>
  <si>
    <t>Training and Bounties</t>
  </si>
  <si>
    <t>Pick Axe</t>
  </si>
  <si>
    <t>Jar of Hellbat Ichor</t>
  </si>
  <si>
    <t>2 cards</t>
  </si>
  <si>
    <t>Cavalry Sabre</t>
  </si>
  <si>
    <t>Military Gloves</t>
  </si>
  <si>
    <t>Desert boots</t>
  </si>
  <si>
    <t>Dynamite</t>
  </si>
  <si>
    <t>Hunting Knife</t>
  </si>
  <si>
    <t>Indian Hatchet</t>
  </si>
  <si>
    <t>Tribal, Traveler, or Frontier only</t>
  </si>
  <si>
    <t>Tribal Knife</t>
  </si>
  <si>
    <t>Splitter</t>
  </si>
  <si>
    <t>Boost, Appeal</t>
  </si>
  <si>
    <t>Gear, Dark Stone, Hand Weapon</t>
  </si>
  <si>
    <t>Gear, Clothing, Torso, Dark Stone</t>
  </si>
  <si>
    <t>Gear, Clothing, Hat</t>
  </si>
  <si>
    <t>Gear, Glass, Void</t>
  </si>
  <si>
    <t>Gear, Hand Weapon, Blade</t>
  </si>
  <si>
    <t>Gear, Clothing, Gloves</t>
  </si>
  <si>
    <t>Gear, Clothing, Boots</t>
  </si>
  <si>
    <t>Gear, Explosives, Tokens</t>
  </si>
  <si>
    <t>Gear, Hand Weapon, Tribal</t>
  </si>
  <si>
    <t>Gear, Hand Weapon, Tribal, Blade</t>
  </si>
  <si>
    <t>Blessed Auras</t>
  </si>
  <si>
    <t>Aura of Excellence</t>
  </si>
  <si>
    <t>Aura of Fortitude</t>
  </si>
  <si>
    <t>Aura of Worth</t>
  </si>
  <si>
    <t>Aura of Protection</t>
  </si>
  <si>
    <t>Blessed Aura, Shield</t>
  </si>
  <si>
    <t>Blessed Aura</t>
  </si>
  <si>
    <t>Vial of Brimstone Ash</t>
  </si>
  <si>
    <t>Gear, Void</t>
  </si>
  <si>
    <t>Conversion</t>
  </si>
  <si>
    <t>Holy</t>
  </si>
  <si>
    <t>Not avaliable to Holy Heroes</t>
  </si>
  <si>
    <t>The Sacred Order</t>
  </si>
  <si>
    <t>Holy Robes</t>
  </si>
  <si>
    <t>Gear, Clothing, Coat, Holy</t>
  </si>
  <si>
    <t>Holy Book</t>
  </si>
  <si>
    <t>Gear, Book, Holy, Icon</t>
  </si>
  <si>
    <t>Book of Armageddon</t>
  </si>
  <si>
    <t>Cross of Vengence</t>
  </si>
  <si>
    <t>Gear, Hand Weapon, Holy</t>
  </si>
  <si>
    <t>Holy Heroes Only</t>
  </si>
  <si>
    <t>Scroll of protection</t>
  </si>
  <si>
    <t>Gear, Holy, Scroll</t>
  </si>
  <si>
    <t>Icon of Resistance</t>
  </si>
  <si>
    <t>Gear, Holy, Icon</t>
  </si>
  <si>
    <t>Censer of Illumination</t>
  </si>
  <si>
    <t>Gear, Light, Holy</t>
  </si>
  <si>
    <t>maybe</t>
  </si>
  <si>
    <t>Side Bag Tokens</t>
  </si>
  <si>
    <t>Gear, Whisky, Tokens</t>
  </si>
  <si>
    <t>Gear, Explosive, Tokens</t>
  </si>
  <si>
    <t>Guns &amp; Ammo</t>
  </si>
  <si>
    <t>Demon Shot</t>
  </si>
  <si>
    <t>Void Shot</t>
  </si>
  <si>
    <t>Silver Shot</t>
  </si>
  <si>
    <t>Holy Shot</t>
  </si>
  <si>
    <t>Gear, Ammo</t>
  </si>
  <si>
    <t>Shotgun</t>
  </si>
  <si>
    <t>Gear, Gun, Shotgun</t>
  </si>
  <si>
    <t>Double-Barrel Shotgun</t>
  </si>
  <si>
    <t>Hunting Rifle</t>
  </si>
  <si>
    <t>Gear, Gun, Rifle</t>
  </si>
  <si>
    <t>Light-Pistol</t>
  </si>
  <si>
    <t>Pistol</t>
  </si>
  <si>
    <t>Gear, Gun, Pistol, Light</t>
  </si>
  <si>
    <t>Quickdraw Pistol</t>
  </si>
  <si>
    <t>Gear, Gun, Pistol</t>
  </si>
  <si>
    <t>Gunfighter's Pistol</t>
  </si>
  <si>
    <t>Hold-Out Pistol</t>
  </si>
  <si>
    <t>Hats</t>
  </si>
  <si>
    <t>Clothing, &amp; Equipment</t>
  </si>
  <si>
    <t>Rider's Hat</t>
  </si>
  <si>
    <t>War veteran Hat</t>
  </si>
  <si>
    <t>Scout's Hat</t>
  </si>
  <si>
    <t>Frontier Hat</t>
  </si>
  <si>
    <t>Cowboy Hat</t>
  </si>
  <si>
    <t>Sombrero</t>
  </si>
  <si>
    <t>White Hat</t>
  </si>
  <si>
    <t>Black Hat</t>
  </si>
  <si>
    <t>Legendary Hat</t>
  </si>
  <si>
    <t>Hair Grease</t>
  </si>
  <si>
    <t>Tent</t>
  </si>
  <si>
    <t>Harmonica</t>
  </si>
  <si>
    <t>Jacket</t>
  </si>
  <si>
    <t>Long Coat</t>
  </si>
  <si>
    <t>Duster</t>
  </si>
  <si>
    <t>Poncho</t>
  </si>
  <si>
    <t>Performer Only</t>
  </si>
  <si>
    <t>Gear, Grooming</t>
  </si>
  <si>
    <t>Gear, Survival</t>
  </si>
  <si>
    <t>Gear, Music</t>
  </si>
  <si>
    <t>Gear, Clothing, Coat</t>
  </si>
  <si>
    <t>Gear, Clothing, Sholders</t>
  </si>
  <si>
    <t>Outlaw Only</t>
  </si>
  <si>
    <t>Frontier or Traveler Only</t>
  </si>
  <si>
    <t>Outlaw or Traveler Only</t>
  </si>
  <si>
    <t>gear card</t>
  </si>
  <si>
    <t>Iron Cross Gear Card</t>
  </si>
  <si>
    <t>Starting Gear</t>
  </si>
  <si>
    <t>Mine Artifacts</t>
  </si>
  <si>
    <t>City of ancients p38</t>
  </si>
  <si>
    <t>gear card (Dusty Poncho) marat</t>
  </si>
  <si>
    <t>Gear Card Pheon</t>
  </si>
  <si>
    <t>Starting gear pheon</t>
  </si>
  <si>
    <t>Scanned</t>
  </si>
  <si>
    <t>Personal Items (Silver dice) marat</t>
  </si>
  <si>
    <t>CARD DONE?</t>
  </si>
  <si>
    <t>yes</t>
  </si>
  <si>
    <r>
      <t xml:space="preserve">SALOON </t>
    </r>
    <r>
      <rPr>
        <b/>
        <sz val="11"/>
        <color theme="1"/>
        <rFont val="Calibri"/>
        <family val="2"/>
        <scheme val="minor"/>
      </rPr>
      <t>(DONE!!!!)</t>
    </r>
  </si>
  <si>
    <t>27 left</t>
  </si>
  <si>
    <t>CHURCH (done)</t>
  </si>
  <si>
    <t>DOC'S OFFICE (DONE!)</t>
  </si>
  <si>
    <t>GENERAL STORE (DONE!)</t>
  </si>
  <si>
    <t>FRONTIER OUTPOST (Done)</t>
  </si>
  <si>
    <t>copies needed</t>
  </si>
  <si>
    <t>BLACK SMITH (DONE!)</t>
  </si>
  <si>
    <t>Gambler's Deck of Cards</t>
  </si>
  <si>
    <t>168 to 180</t>
  </si>
  <si>
    <t>107 to 167</t>
  </si>
  <si>
    <t>93 to 106</t>
  </si>
  <si>
    <t>79 to 92</t>
  </si>
  <si>
    <t>61 to 78</t>
  </si>
  <si>
    <t>1 to 60</t>
  </si>
  <si>
    <t>THE CAMP SITE</t>
  </si>
  <si>
    <t>INDIAN TRADING POST</t>
  </si>
  <si>
    <t>Beaver (1)</t>
  </si>
  <si>
    <t>Wolf (2)</t>
  </si>
  <si>
    <t xml:space="preserve"> Eagle (3) </t>
  </si>
  <si>
    <t xml:space="preserve">Mouse (4) </t>
  </si>
  <si>
    <t xml:space="preserve">Crow (5) </t>
  </si>
  <si>
    <t xml:space="preserve">Snake (6) </t>
  </si>
  <si>
    <t>Vision Quest</t>
  </si>
  <si>
    <t>Limit one - Once next adventure</t>
  </si>
  <si>
    <t>Feathered Hatchet</t>
  </si>
  <si>
    <t>Tribal, Traveler, or Frontier Only</t>
  </si>
  <si>
    <t>Throwing Hatchet</t>
  </si>
  <si>
    <t>Gear, Tribal, Tokens</t>
  </si>
  <si>
    <t>Glyph of the Buffalo</t>
  </si>
  <si>
    <t>Upgrade, Rune, Tribal</t>
  </si>
  <si>
    <t>War Glyph</t>
  </si>
  <si>
    <t>Death Glyph</t>
  </si>
  <si>
    <t>Tribal or Scout Only</t>
  </si>
  <si>
    <t>Purchase Items - Bows</t>
  </si>
  <si>
    <t>Indian Bow</t>
  </si>
  <si>
    <t>Scout's Bow</t>
  </si>
  <si>
    <t>Long Bow</t>
  </si>
  <si>
    <t>War Bow</t>
  </si>
  <si>
    <t>Spirit Bow</t>
  </si>
  <si>
    <t>Gear, Bow, tribal</t>
  </si>
  <si>
    <t>Purchase Items - Arrows</t>
  </si>
  <si>
    <t>Dark Stone Arrow</t>
  </si>
  <si>
    <t>Hunting Arrow</t>
  </si>
  <si>
    <t>Spirit Arrow</t>
  </si>
  <si>
    <t>Blessed Arrow</t>
  </si>
  <si>
    <t>Eagle Arrow</t>
  </si>
  <si>
    <t>Blood Arrow</t>
  </si>
  <si>
    <t>Gear, Ammo, Tribal, Arrow</t>
  </si>
  <si>
    <t>Snake Skin Belt</t>
  </si>
  <si>
    <t>Scout Bag</t>
  </si>
  <si>
    <t>Cavalry Jacket</t>
  </si>
  <si>
    <t>Medicine Bag</t>
  </si>
  <si>
    <t>Gear, Clothing, Belt</t>
  </si>
  <si>
    <t>Gear, Medical, Tribal</t>
  </si>
  <si>
    <t>GAMBLING HALL</t>
  </si>
  <si>
    <t>Fine Cigar</t>
  </si>
  <si>
    <t>Gear, Cigar, Token</t>
  </si>
  <si>
    <t>Purchase Items - Fancy Clothing</t>
  </si>
  <si>
    <t>Black Tie</t>
  </si>
  <si>
    <t>Fancy Bowler</t>
  </si>
  <si>
    <t>Top Hat</t>
  </si>
  <si>
    <t>Gambler's Jacket</t>
  </si>
  <si>
    <t>Red Sash</t>
  </si>
  <si>
    <t>Gold Ring</t>
  </si>
  <si>
    <t>Purchase Items - Cashier Items</t>
  </si>
  <si>
    <t>The Devil's Own</t>
  </si>
  <si>
    <t>Cheater's Hold-Out Pistol</t>
  </si>
  <si>
    <t>Gambler's Gun</t>
  </si>
  <si>
    <t>Dark Stone Poker Chip</t>
  </si>
  <si>
    <t>Gear, Clothing, Neck</t>
  </si>
  <si>
    <t>Gear, Ring</t>
  </si>
  <si>
    <t>Showman only</t>
  </si>
  <si>
    <t>Performer or Showman Only</t>
  </si>
  <si>
    <t>Gear, Charm, Hell</t>
  </si>
  <si>
    <t>No Holy or Tribal Heroes</t>
  </si>
  <si>
    <t>Gear, Dark Stone, Charm</t>
  </si>
  <si>
    <t>MUTANT QUARTER</t>
  </si>
  <si>
    <t>Hooded Cloak</t>
  </si>
  <si>
    <t>Gear, Clothing, Shoulders</t>
  </si>
  <si>
    <t>Extractor</t>
  </si>
  <si>
    <t>Rail Hammer</t>
  </si>
  <si>
    <t>Void Child Pistol</t>
  </si>
  <si>
    <t>Brace of Three Pistols</t>
  </si>
  <si>
    <t>Rail Spike Driver</t>
  </si>
  <si>
    <t>Gear, Medical</t>
  </si>
  <si>
    <r>
      <t>May only be used with a</t>
    </r>
    <r>
      <rPr>
        <i/>
        <sz val="11"/>
        <color theme="1"/>
        <rFont val="Calibri"/>
        <family val="2"/>
        <scheme val="minor"/>
      </rPr>
      <t xml:space="preserve"> Child of the Void</t>
    </r>
    <r>
      <rPr>
        <sz val="11"/>
        <color theme="1"/>
        <rFont val="Calibri"/>
        <family val="2"/>
        <scheme val="minor"/>
      </rPr>
      <t xml:space="preserve"> Mutation</t>
    </r>
  </si>
  <si>
    <t>SHERIFF'S OFFICE</t>
  </si>
  <si>
    <t>Wanted Poster</t>
  </si>
  <si>
    <t>Gear, Poster</t>
  </si>
  <si>
    <t>Purchase Items - Clothing and Equipment</t>
  </si>
  <si>
    <t>Caped Overcoat</t>
  </si>
  <si>
    <t>Black Duster</t>
  </si>
  <si>
    <t>Hangman's Noose</t>
  </si>
  <si>
    <t>Duelist's gunbelt</t>
  </si>
  <si>
    <t>Excutioner Shotgun</t>
  </si>
  <si>
    <t>Become Deputized</t>
  </si>
  <si>
    <t>Purchase Items - Badges</t>
  </si>
  <si>
    <t>Peace Keeper Pistol</t>
  </si>
  <si>
    <t>The Punisher</t>
  </si>
  <si>
    <t>Limit 1 Badge</t>
  </si>
  <si>
    <t>Marshal/Sheriff Badge</t>
  </si>
  <si>
    <t>Limit 1 Badge, US Marshal, or Lawman Only.</t>
  </si>
  <si>
    <t>Gear, Law, Icon</t>
  </si>
  <si>
    <t>Bounty Hunter's Badge</t>
  </si>
  <si>
    <t>Deputy Badge</t>
  </si>
  <si>
    <t>Excutioner's Badge</t>
  </si>
  <si>
    <t>FREE</t>
  </si>
  <si>
    <t>Traveler Only</t>
  </si>
  <si>
    <t>Frontier or Law Only</t>
  </si>
  <si>
    <t>50xp</t>
  </si>
  <si>
    <t>Gear</t>
  </si>
  <si>
    <t>Law</t>
  </si>
  <si>
    <t>Gear, Gun, Pistol, Law</t>
  </si>
  <si>
    <t>Gear, Gun, Shotgun, Law</t>
  </si>
  <si>
    <t>SMUGGLER'S DEN</t>
  </si>
  <si>
    <t>Taquila</t>
  </si>
  <si>
    <t>Purchase Items - Illegal Ammo</t>
  </si>
  <si>
    <t>Inferno Shot</t>
  </si>
  <si>
    <t>Blood Rounds</t>
  </si>
  <si>
    <t>Hell Bullets</t>
  </si>
  <si>
    <t>Smuggler's Hold Out Pistol</t>
  </si>
  <si>
    <t>Limit 1, Performer, outlaw, or Showman Only</t>
  </si>
  <si>
    <t>Down a Dark Road</t>
  </si>
  <si>
    <t>Not Avaliable to Outlaw Heroes</t>
  </si>
  <si>
    <t>Outlaw</t>
  </si>
  <si>
    <t>Outlaw Pistol</t>
  </si>
  <si>
    <t>Sawed-Off Shotgun</t>
  </si>
  <si>
    <t>Bandana</t>
  </si>
  <si>
    <t>Gear, Clothing, Face</t>
  </si>
  <si>
    <t>Shaped Charge</t>
  </si>
  <si>
    <t>Gear, Explosive</t>
  </si>
  <si>
    <t>Black Gunbelt</t>
  </si>
  <si>
    <t>Gunman's Poncho</t>
  </si>
  <si>
    <t>STREET MARKET</t>
  </si>
  <si>
    <t>Far Eastern Potion</t>
  </si>
  <si>
    <t>Exotic Herbs</t>
  </si>
  <si>
    <t>Rare Spices</t>
  </si>
  <si>
    <t>Refined lantern oil</t>
  </si>
  <si>
    <t>Gear, , Tokens</t>
  </si>
  <si>
    <t>Gear, Potion, Tokens</t>
  </si>
  <si>
    <t>Gear, Oil, Tokens</t>
  </si>
  <si>
    <t>Scavenger's Hat</t>
  </si>
  <si>
    <t>Explorer's Hat</t>
  </si>
  <si>
    <t>Badland's Hat</t>
  </si>
  <si>
    <t>Miner's Hat</t>
  </si>
  <si>
    <t>Drifter's hat</t>
  </si>
  <si>
    <t>Ornate Pistol</t>
  </si>
  <si>
    <t>Butcher's Blade</t>
  </si>
  <si>
    <t>Red Dragon Injection</t>
  </si>
  <si>
    <t>Mutant Horse</t>
  </si>
  <si>
    <t>Wild Horse</t>
  </si>
  <si>
    <t>Trederran Stallion</t>
  </si>
  <si>
    <t>Swamp Slug</t>
  </si>
  <si>
    <t>Chew</t>
  </si>
  <si>
    <t>Silk Sash</t>
  </si>
  <si>
    <t>Ornate Case</t>
  </si>
  <si>
    <t>Dark Stone Bracelet</t>
  </si>
  <si>
    <t>Merchant's Apron</t>
  </si>
  <si>
    <t>Railworker's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</si>
</sst>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6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horizontal="right"/>
    </xf>
    <xf numFmtId="6" fontId="0" fillId="4" borderId="0" xfId="0" applyNumberFormat="1" applyFill="1"/>
    <xf numFmtId="0" fontId="0" fillId="4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17" fontId="0" fillId="0" borderId="0" xfId="0" applyNumberFormat="1"/>
    <xf numFmtId="0" fontId="0" fillId="6" borderId="0" xfId="0" applyFill="1" applyAlignment="1">
      <alignment horizontal="right"/>
    </xf>
    <xf numFmtId="0" fontId="0" fillId="4" borderId="0" xfId="0" applyNumberFormat="1" applyFill="1"/>
    <xf numFmtId="0" fontId="0" fillId="0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tabSelected="1" workbookViewId="0">
      <pane ySplit="3" topLeftCell="A118" activePane="bottomLeft" state="frozen"/>
      <selection pane="bottomLeft" activeCell="B115" sqref="B115"/>
    </sheetView>
  </sheetViews>
  <sheetFormatPr defaultRowHeight="14.5" x14ac:dyDescent="0.35"/>
  <cols>
    <col min="2" max="2" width="38.26953125" bestFit="1" customWidth="1"/>
    <col min="3" max="4" width="7.54296875" style="18" customWidth="1"/>
    <col min="5" max="5" width="24.7265625" bestFit="1" customWidth="1"/>
    <col min="6" max="6" width="7.54296875" bestFit="1" customWidth="1"/>
    <col min="7" max="7" width="8.26953125" bestFit="1" customWidth="1"/>
    <col min="8" max="8" width="36" bestFit="1" customWidth="1"/>
    <col min="9" max="9" width="47.453125" bestFit="1" customWidth="1"/>
    <col min="10" max="10" width="9" bestFit="1" customWidth="1"/>
    <col min="11" max="11" width="7" bestFit="1" customWidth="1"/>
    <col min="12" max="12" width="31" bestFit="1" customWidth="1"/>
    <col min="13" max="13" width="22.1796875" bestFit="1" customWidth="1"/>
    <col min="14" max="14" width="8.453125" style="10" bestFit="1" customWidth="1"/>
    <col min="15" max="15" width="11" bestFit="1" customWidth="1"/>
  </cols>
  <sheetData>
    <row r="1" spans="1:15" x14ac:dyDescent="0.35">
      <c r="C1" s="13"/>
      <c r="D1" s="13"/>
    </row>
    <row r="2" spans="1:15" ht="15" thickBot="1" x14ac:dyDescent="0.4">
      <c r="C2" s="13"/>
      <c r="D2" s="13"/>
    </row>
    <row r="3" spans="1:15" s="5" customFormat="1" ht="30.75" customHeight="1" thickBot="1" x14ac:dyDescent="0.4">
      <c r="B3" s="5" t="s">
        <v>0</v>
      </c>
      <c r="C3" s="14" t="s">
        <v>210</v>
      </c>
      <c r="D3" s="14" t="s">
        <v>218</v>
      </c>
      <c r="E3" s="5" t="s">
        <v>3</v>
      </c>
      <c r="F3" s="5" t="s">
        <v>5</v>
      </c>
      <c r="G3" s="5" t="s">
        <v>56</v>
      </c>
      <c r="H3" s="5" t="s">
        <v>6</v>
      </c>
      <c r="I3" s="5" t="s">
        <v>41</v>
      </c>
      <c r="J3" s="6" t="s">
        <v>79</v>
      </c>
      <c r="K3" s="5" t="s">
        <v>8</v>
      </c>
      <c r="L3" s="5" t="s">
        <v>9</v>
      </c>
      <c r="M3" s="5" t="s">
        <v>10</v>
      </c>
      <c r="N3" s="11" t="s">
        <v>208</v>
      </c>
      <c r="O3" s="5" t="s">
        <v>43</v>
      </c>
    </row>
    <row r="4" spans="1:15" s="20" customFormat="1" x14ac:dyDescent="0.35">
      <c r="A4" s="20">
        <v>7</v>
      </c>
      <c r="B4" s="20" t="s">
        <v>227</v>
      </c>
      <c r="C4" s="21"/>
      <c r="D4" s="21"/>
      <c r="N4" s="22"/>
    </row>
    <row r="5" spans="1:15" x14ac:dyDescent="0.35">
      <c r="A5">
        <f>SUM(D5:D6)</f>
        <v>0</v>
      </c>
      <c r="B5" s="7" t="s">
        <v>26</v>
      </c>
      <c r="C5" s="16">
        <v>0</v>
      </c>
      <c r="D5" s="16">
        <v>0</v>
      </c>
      <c r="E5" s="9" t="s">
        <v>4</v>
      </c>
      <c r="F5" s="8">
        <v>50</v>
      </c>
      <c r="G5" s="8"/>
      <c r="H5" s="9" t="s">
        <v>7</v>
      </c>
      <c r="I5" s="9" t="s">
        <v>42</v>
      </c>
      <c r="J5" s="9" t="s">
        <v>18</v>
      </c>
      <c r="K5" s="9" t="s">
        <v>13</v>
      </c>
      <c r="L5" s="9"/>
      <c r="M5" s="9"/>
      <c r="N5" s="10">
        <v>0</v>
      </c>
    </row>
    <row r="6" spans="1:15" x14ac:dyDescent="0.35">
      <c r="A6" t="s">
        <v>224</v>
      </c>
      <c r="B6" s="7" t="s">
        <v>26</v>
      </c>
      <c r="C6" s="16">
        <v>0</v>
      </c>
      <c r="D6" s="16">
        <v>0</v>
      </c>
      <c r="E6" s="9" t="s">
        <v>81</v>
      </c>
      <c r="F6" s="8">
        <v>50</v>
      </c>
      <c r="G6" s="9"/>
      <c r="H6" s="9" t="s">
        <v>84</v>
      </c>
      <c r="I6" s="9" t="s">
        <v>42</v>
      </c>
      <c r="J6" s="9" t="s">
        <v>18</v>
      </c>
      <c r="K6" s="9" t="s">
        <v>13</v>
      </c>
      <c r="L6" s="9"/>
      <c r="M6" s="9"/>
      <c r="N6" s="10">
        <v>0</v>
      </c>
    </row>
    <row r="8" spans="1:15" s="20" customFormat="1" x14ac:dyDescent="0.35">
      <c r="A8" s="20">
        <v>8</v>
      </c>
      <c r="B8" s="20" t="s">
        <v>228</v>
      </c>
      <c r="C8" s="21"/>
      <c r="D8" s="21"/>
      <c r="N8" s="22"/>
    </row>
    <row r="9" spans="1:15" x14ac:dyDescent="0.35">
      <c r="A9">
        <f>SUM(D9:D28)</f>
        <v>47</v>
      </c>
      <c r="B9" s="3" t="s">
        <v>235</v>
      </c>
      <c r="C9" s="18">
        <v>0</v>
      </c>
      <c r="D9" s="18">
        <v>3</v>
      </c>
      <c r="E9" s="23" t="s">
        <v>229</v>
      </c>
      <c r="F9" t="s">
        <v>36</v>
      </c>
      <c r="H9" t="s">
        <v>42</v>
      </c>
      <c r="I9" t="s">
        <v>236</v>
      </c>
      <c r="K9" t="s">
        <v>18</v>
      </c>
      <c r="N9" s="10">
        <v>0</v>
      </c>
    </row>
    <row r="10" spans="1:15" x14ac:dyDescent="0.35">
      <c r="A10" s="24" t="s">
        <v>226</v>
      </c>
      <c r="B10" s="3" t="s">
        <v>235</v>
      </c>
      <c r="C10" s="18">
        <v>0</v>
      </c>
      <c r="D10" s="18">
        <v>3</v>
      </c>
      <c r="E10" s="23" t="s">
        <v>230</v>
      </c>
      <c r="F10" t="s">
        <v>36</v>
      </c>
      <c r="G10" s="2"/>
      <c r="H10" t="s">
        <v>42</v>
      </c>
      <c r="I10" t="s">
        <v>236</v>
      </c>
      <c r="K10" t="s">
        <v>18</v>
      </c>
      <c r="N10" s="10">
        <v>0</v>
      </c>
    </row>
    <row r="11" spans="1:15" x14ac:dyDescent="0.35">
      <c r="B11" s="3" t="s">
        <v>235</v>
      </c>
      <c r="C11" s="18">
        <v>0</v>
      </c>
      <c r="D11" s="18">
        <v>3</v>
      </c>
      <c r="E11" s="23" t="s">
        <v>231</v>
      </c>
      <c r="F11" t="s">
        <v>36</v>
      </c>
      <c r="G11" s="2"/>
      <c r="H11" t="s">
        <v>42</v>
      </c>
      <c r="I11" t="s">
        <v>236</v>
      </c>
      <c r="K11" t="s">
        <v>18</v>
      </c>
      <c r="N11" s="10">
        <v>0</v>
      </c>
    </row>
    <row r="12" spans="1:15" x14ac:dyDescent="0.35">
      <c r="B12" s="3" t="s">
        <v>235</v>
      </c>
      <c r="C12" s="18">
        <v>0</v>
      </c>
      <c r="D12" s="18">
        <v>3</v>
      </c>
      <c r="E12" s="23" t="s">
        <v>232</v>
      </c>
      <c r="F12" t="s">
        <v>36</v>
      </c>
      <c r="G12" s="2"/>
      <c r="H12" t="s">
        <v>42</v>
      </c>
      <c r="I12" t="s">
        <v>236</v>
      </c>
      <c r="K12" t="s">
        <v>18</v>
      </c>
      <c r="N12" s="10">
        <v>0</v>
      </c>
    </row>
    <row r="13" spans="1:15" x14ac:dyDescent="0.35">
      <c r="B13" s="3" t="s">
        <v>235</v>
      </c>
      <c r="C13" s="18">
        <v>0</v>
      </c>
      <c r="D13" s="18">
        <v>3</v>
      </c>
      <c r="E13" s="23" t="s">
        <v>233</v>
      </c>
      <c r="F13" t="s">
        <v>36</v>
      </c>
      <c r="G13" s="2"/>
      <c r="H13" t="s">
        <v>42</v>
      </c>
      <c r="I13" t="s">
        <v>236</v>
      </c>
      <c r="K13" t="s">
        <v>18</v>
      </c>
      <c r="N13" s="10">
        <v>0</v>
      </c>
    </row>
    <row r="14" spans="1:15" x14ac:dyDescent="0.35">
      <c r="B14" s="3" t="s">
        <v>235</v>
      </c>
      <c r="C14" s="18">
        <v>0</v>
      </c>
      <c r="D14" s="18">
        <v>3</v>
      </c>
      <c r="E14" s="23" t="s">
        <v>234</v>
      </c>
      <c r="F14" t="s">
        <v>36</v>
      </c>
      <c r="G14" s="2"/>
      <c r="H14" t="s">
        <v>42</v>
      </c>
      <c r="I14" t="s">
        <v>236</v>
      </c>
      <c r="K14" t="s">
        <v>18</v>
      </c>
      <c r="N14" s="10">
        <v>0</v>
      </c>
    </row>
    <row r="15" spans="1:15" x14ac:dyDescent="0.35">
      <c r="B15" s="3" t="s">
        <v>80</v>
      </c>
      <c r="C15" s="18">
        <v>0</v>
      </c>
      <c r="D15" s="18">
        <v>3</v>
      </c>
      <c r="E15" s="23" t="s">
        <v>109</v>
      </c>
      <c r="F15" s="2">
        <v>750</v>
      </c>
      <c r="G15" s="2"/>
      <c r="H15" t="s">
        <v>122</v>
      </c>
      <c r="I15" t="s">
        <v>238</v>
      </c>
      <c r="K15" t="s">
        <v>18</v>
      </c>
      <c r="N15" s="10">
        <v>0</v>
      </c>
    </row>
    <row r="16" spans="1:15" x14ac:dyDescent="0.35">
      <c r="B16" s="3" t="s">
        <v>80</v>
      </c>
      <c r="C16" s="18">
        <v>0</v>
      </c>
      <c r="D16" s="18">
        <v>3</v>
      </c>
      <c r="E16" s="23" t="s">
        <v>237</v>
      </c>
      <c r="F16" s="2">
        <v>2250</v>
      </c>
      <c r="G16" s="2"/>
      <c r="H16" t="s">
        <v>122</v>
      </c>
      <c r="I16" t="s">
        <v>238</v>
      </c>
      <c r="K16" t="s">
        <v>18</v>
      </c>
      <c r="N16" s="10">
        <v>0</v>
      </c>
    </row>
    <row r="17" spans="2:15" x14ac:dyDescent="0.35">
      <c r="B17" s="7" t="s">
        <v>80</v>
      </c>
      <c r="C17" s="16">
        <v>0</v>
      </c>
      <c r="D17" s="16">
        <v>0</v>
      </c>
      <c r="E17" s="9" t="s">
        <v>239</v>
      </c>
      <c r="F17" s="8">
        <v>100</v>
      </c>
      <c r="G17" s="26"/>
      <c r="H17" s="9" t="s">
        <v>240</v>
      </c>
      <c r="I17" s="9" t="s">
        <v>42</v>
      </c>
      <c r="J17" s="9"/>
      <c r="K17" s="9" t="s">
        <v>18</v>
      </c>
      <c r="L17" s="9"/>
      <c r="M17" s="9"/>
      <c r="N17" s="10">
        <v>0</v>
      </c>
      <c r="O17" t="s">
        <v>44</v>
      </c>
    </row>
    <row r="18" spans="2:15" x14ac:dyDescent="0.35">
      <c r="B18" s="3" t="s">
        <v>80</v>
      </c>
      <c r="C18" s="18">
        <v>0</v>
      </c>
      <c r="D18" s="18">
        <v>1</v>
      </c>
      <c r="E18" s="23" t="s">
        <v>241</v>
      </c>
      <c r="F18" s="2">
        <v>200</v>
      </c>
      <c r="G18">
        <v>2</v>
      </c>
      <c r="H18" t="s">
        <v>242</v>
      </c>
      <c r="I18" t="s">
        <v>42</v>
      </c>
      <c r="K18" t="s">
        <v>18</v>
      </c>
      <c r="N18" s="10">
        <v>0</v>
      </c>
    </row>
    <row r="19" spans="2:15" x14ac:dyDescent="0.35">
      <c r="B19" s="3" t="s">
        <v>80</v>
      </c>
      <c r="C19" s="18">
        <v>0</v>
      </c>
      <c r="D19" s="18">
        <v>1</v>
      </c>
      <c r="E19" s="23" t="s">
        <v>243</v>
      </c>
      <c r="F19" s="2">
        <v>500</v>
      </c>
      <c r="G19">
        <v>5</v>
      </c>
      <c r="H19" t="s">
        <v>242</v>
      </c>
      <c r="I19" t="s">
        <v>42</v>
      </c>
      <c r="K19" t="s">
        <v>18</v>
      </c>
      <c r="N19" s="10">
        <v>0</v>
      </c>
    </row>
    <row r="20" spans="2:15" x14ac:dyDescent="0.35">
      <c r="B20" s="3" t="s">
        <v>80</v>
      </c>
      <c r="C20" s="18">
        <v>0</v>
      </c>
      <c r="D20" s="18">
        <v>1</v>
      </c>
      <c r="E20" s="23" t="s">
        <v>244</v>
      </c>
      <c r="F20" s="2">
        <v>1000</v>
      </c>
      <c r="G20">
        <v>6</v>
      </c>
      <c r="H20" t="s">
        <v>242</v>
      </c>
      <c r="I20" t="s">
        <v>42</v>
      </c>
      <c r="K20" t="s">
        <v>18</v>
      </c>
      <c r="N20" s="10">
        <v>0</v>
      </c>
    </row>
    <row r="21" spans="2:15" x14ac:dyDescent="0.35">
      <c r="B21" s="3" t="s">
        <v>246</v>
      </c>
      <c r="C21" s="18">
        <v>0</v>
      </c>
      <c r="D21" s="18">
        <v>1</v>
      </c>
      <c r="E21" s="23" t="s">
        <v>247</v>
      </c>
      <c r="F21" s="2">
        <v>400</v>
      </c>
      <c r="H21" t="s">
        <v>252</v>
      </c>
      <c r="I21" t="s">
        <v>245</v>
      </c>
      <c r="K21" t="s">
        <v>18</v>
      </c>
      <c r="N21" s="10">
        <v>0</v>
      </c>
    </row>
    <row r="22" spans="2:15" x14ac:dyDescent="0.35">
      <c r="B22" s="3" t="s">
        <v>246</v>
      </c>
      <c r="C22" s="18">
        <v>0</v>
      </c>
      <c r="D22" s="18">
        <v>1</v>
      </c>
      <c r="E22" s="23" t="s">
        <v>248</v>
      </c>
      <c r="F22" s="2">
        <v>1200</v>
      </c>
      <c r="H22" t="s">
        <v>252</v>
      </c>
      <c r="I22" t="s">
        <v>245</v>
      </c>
      <c r="K22" t="s">
        <v>18</v>
      </c>
      <c r="N22" s="10">
        <v>0</v>
      </c>
    </row>
    <row r="23" spans="2:15" x14ac:dyDescent="0.35">
      <c r="B23" s="3" t="s">
        <v>246</v>
      </c>
      <c r="C23" s="18">
        <v>0</v>
      </c>
      <c r="D23" s="18">
        <v>1</v>
      </c>
      <c r="E23" s="23" t="s">
        <v>249</v>
      </c>
      <c r="F23" s="2">
        <v>2400</v>
      </c>
      <c r="H23" t="s">
        <v>252</v>
      </c>
      <c r="I23" t="s">
        <v>245</v>
      </c>
      <c r="K23" t="s">
        <v>18</v>
      </c>
      <c r="N23" s="10">
        <v>0</v>
      </c>
    </row>
    <row r="24" spans="2:15" x14ac:dyDescent="0.35">
      <c r="B24" s="3" t="s">
        <v>246</v>
      </c>
      <c r="C24" s="18">
        <v>0</v>
      </c>
      <c r="D24" s="18">
        <v>1</v>
      </c>
      <c r="E24" s="23" t="s">
        <v>250</v>
      </c>
      <c r="F24" s="2">
        <v>3800</v>
      </c>
      <c r="H24" t="s">
        <v>252</v>
      </c>
      <c r="I24" t="s">
        <v>245</v>
      </c>
      <c r="K24" t="s">
        <v>18</v>
      </c>
      <c r="N24" s="10">
        <v>0</v>
      </c>
    </row>
    <row r="25" spans="2:15" x14ac:dyDescent="0.35">
      <c r="B25" s="3" t="s">
        <v>246</v>
      </c>
      <c r="C25" s="18">
        <v>0</v>
      </c>
      <c r="D25" s="18">
        <v>1</v>
      </c>
      <c r="E25" s="23" t="s">
        <v>251</v>
      </c>
      <c r="F25" s="2">
        <v>5400</v>
      </c>
      <c r="H25" t="s">
        <v>252</v>
      </c>
      <c r="I25" t="s">
        <v>245</v>
      </c>
      <c r="K25" t="s">
        <v>18</v>
      </c>
      <c r="N25" s="10">
        <v>0</v>
      </c>
    </row>
    <row r="26" spans="2:15" x14ac:dyDescent="0.35">
      <c r="B26" s="3" t="s">
        <v>253</v>
      </c>
      <c r="C26" s="18">
        <v>0</v>
      </c>
      <c r="D26" s="18">
        <v>5</v>
      </c>
      <c r="E26" s="23" t="s">
        <v>254</v>
      </c>
      <c r="F26" s="2">
        <v>25</v>
      </c>
      <c r="H26" t="s">
        <v>260</v>
      </c>
      <c r="I26" t="s">
        <v>245</v>
      </c>
      <c r="K26" t="s">
        <v>18</v>
      </c>
      <c r="N26" s="10">
        <v>0</v>
      </c>
    </row>
    <row r="27" spans="2:15" x14ac:dyDescent="0.35">
      <c r="B27" s="3" t="s">
        <v>253</v>
      </c>
      <c r="C27" s="18">
        <v>0</v>
      </c>
      <c r="D27" s="18">
        <v>5</v>
      </c>
      <c r="E27" s="23" t="s">
        <v>255</v>
      </c>
      <c r="F27" s="2">
        <v>25</v>
      </c>
      <c r="H27" t="s">
        <v>260</v>
      </c>
      <c r="I27" t="s">
        <v>245</v>
      </c>
      <c r="K27" t="s">
        <v>18</v>
      </c>
      <c r="N27" s="10">
        <v>0</v>
      </c>
    </row>
    <row r="28" spans="2:15" x14ac:dyDescent="0.35">
      <c r="B28" s="3" t="s">
        <v>253</v>
      </c>
      <c r="C28" s="18">
        <v>0</v>
      </c>
      <c r="D28" s="18">
        <v>5</v>
      </c>
      <c r="E28" s="23" t="s">
        <v>256</v>
      </c>
      <c r="F28" s="2">
        <v>25</v>
      </c>
      <c r="H28" t="s">
        <v>260</v>
      </c>
      <c r="I28" t="s">
        <v>245</v>
      </c>
      <c r="K28" t="s">
        <v>18</v>
      </c>
      <c r="N28" s="10">
        <v>0</v>
      </c>
    </row>
    <row r="29" spans="2:15" x14ac:dyDescent="0.35">
      <c r="B29" s="3" t="s">
        <v>253</v>
      </c>
      <c r="C29" s="18">
        <v>0</v>
      </c>
      <c r="D29" s="18">
        <v>5</v>
      </c>
      <c r="E29" s="23" t="s">
        <v>257</v>
      </c>
      <c r="F29" s="2">
        <v>25</v>
      </c>
      <c r="H29" t="s">
        <v>260</v>
      </c>
      <c r="I29" t="s">
        <v>245</v>
      </c>
      <c r="K29" t="s">
        <v>18</v>
      </c>
      <c r="N29" s="10">
        <v>0</v>
      </c>
    </row>
    <row r="30" spans="2:15" x14ac:dyDescent="0.35">
      <c r="B30" s="3" t="s">
        <v>253</v>
      </c>
      <c r="C30" s="18">
        <v>0</v>
      </c>
      <c r="D30" s="18">
        <v>3</v>
      </c>
      <c r="E30" s="23" t="s">
        <v>258</v>
      </c>
      <c r="F30" s="2">
        <v>50</v>
      </c>
      <c r="H30" t="s">
        <v>260</v>
      </c>
      <c r="I30" t="s">
        <v>245</v>
      </c>
      <c r="K30" t="s">
        <v>18</v>
      </c>
      <c r="N30" s="10">
        <v>0</v>
      </c>
    </row>
    <row r="31" spans="2:15" x14ac:dyDescent="0.35">
      <c r="B31" s="3" t="s">
        <v>253</v>
      </c>
      <c r="C31" s="18">
        <v>0</v>
      </c>
      <c r="D31" s="18">
        <v>3</v>
      </c>
      <c r="E31" s="23" t="s">
        <v>259</v>
      </c>
      <c r="F31" s="2">
        <v>100</v>
      </c>
      <c r="H31" t="s">
        <v>260</v>
      </c>
      <c r="I31" t="s">
        <v>245</v>
      </c>
      <c r="K31" t="s">
        <v>18</v>
      </c>
      <c r="N31" s="10">
        <v>0</v>
      </c>
    </row>
    <row r="32" spans="2:15" x14ac:dyDescent="0.35">
      <c r="B32" s="3" t="s">
        <v>80</v>
      </c>
      <c r="C32" s="18">
        <v>0</v>
      </c>
      <c r="D32" s="18">
        <v>2</v>
      </c>
      <c r="E32" s="23" t="s">
        <v>261</v>
      </c>
      <c r="F32" s="2">
        <v>650</v>
      </c>
      <c r="H32" t="s">
        <v>265</v>
      </c>
      <c r="I32" t="s">
        <v>245</v>
      </c>
      <c r="K32" t="s">
        <v>18</v>
      </c>
      <c r="N32" s="10">
        <v>0</v>
      </c>
    </row>
    <row r="33" spans="1:14" x14ac:dyDescent="0.35">
      <c r="B33" s="3" t="s">
        <v>80</v>
      </c>
      <c r="C33" s="18">
        <v>0</v>
      </c>
      <c r="D33" s="18">
        <v>2</v>
      </c>
      <c r="E33" s="23" t="s">
        <v>263</v>
      </c>
      <c r="F33" s="2">
        <v>2750</v>
      </c>
      <c r="H33" t="s">
        <v>195</v>
      </c>
      <c r="I33" t="s">
        <v>245</v>
      </c>
      <c r="K33" t="s">
        <v>18</v>
      </c>
      <c r="N33" s="10">
        <v>0</v>
      </c>
    </row>
    <row r="34" spans="1:14" x14ac:dyDescent="0.35">
      <c r="B34" s="3" t="s">
        <v>80</v>
      </c>
      <c r="C34" s="18">
        <v>0</v>
      </c>
      <c r="D34" s="18">
        <v>6</v>
      </c>
      <c r="E34" s="23" t="s">
        <v>262</v>
      </c>
      <c r="F34" s="2">
        <v>2000</v>
      </c>
      <c r="H34" t="s">
        <v>58</v>
      </c>
      <c r="I34" t="s">
        <v>245</v>
      </c>
      <c r="K34" t="s">
        <v>211</v>
      </c>
      <c r="N34" s="10">
        <v>0</v>
      </c>
    </row>
    <row r="35" spans="1:14" x14ac:dyDescent="0.35">
      <c r="B35" s="3" t="s">
        <v>80</v>
      </c>
      <c r="C35" s="18">
        <v>0</v>
      </c>
      <c r="D35" s="18">
        <v>4</v>
      </c>
      <c r="E35" s="23" t="s">
        <v>264</v>
      </c>
      <c r="F35" s="2">
        <v>3200</v>
      </c>
      <c r="H35" t="s">
        <v>266</v>
      </c>
      <c r="I35" t="s">
        <v>245</v>
      </c>
      <c r="K35" t="s">
        <v>18</v>
      </c>
      <c r="N35" s="10">
        <v>0</v>
      </c>
    </row>
    <row r="37" spans="1:14" s="20" customFormat="1" x14ac:dyDescent="0.35">
      <c r="A37" s="20">
        <v>9</v>
      </c>
      <c r="B37" s="20" t="s">
        <v>267</v>
      </c>
      <c r="C37" s="21"/>
      <c r="D37" s="21"/>
      <c r="N37" s="22"/>
    </row>
    <row r="38" spans="1:14" s="9" customFormat="1" x14ac:dyDescent="0.35">
      <c r="A38">
        <f>SUM(D38:D46)</f>
        <v>7</v>
      </c>
      <c r="B38" s="7" t="s">
        <v>80</v>
      </c>
      <c r="C38" s="16">
        <v>0</v>
      </c>
      <c r="D38" s="16">
        <v>0</v>
      </c>
      <c r="E38" s="9" t="s">
        <v>81</v>
      </c>
      <c r="F38" s="8">
        <v>50</v>
      </c>
      <c r="H38" s="9" t="s">
        <v>84</v>
      </c>
      <c r="J38" s="9" t="s">
        <v>18</v>
      </c>
      <c r="K38" s="9" t="s">
        <v>18</v>
      </c>
      <c r="N38" s="19">
        <v>0</v>
      </c>
    </row>
    <row r="39" spans="1:14" x14ac:dyDescent="0.35">
      <c r="A39" t="s">
        <v>221</v>
      </c>
      <c r="B39" s="7" t="s">
        <v>80</v>
      </c>
      <c r="C39" s="16">
        <v>0</v>
      </c>
      <c r="D39" s="16">
        <v>0</v>
      </c>
      <c r="E39" s="9" t="s">
        <v>268</v>
      </c>
      <c r="F39" s="8">
        <v>25</v>
      </c>
      <c r="G39" s="9"/>
      <c r="H39" s="9" t="s">
        <v>269</v>
      </c>
      <c r="I39" s="9"/>
      <c r="J39" s="9" t="s">
        <v>18</v>
      </c>
      <c r="K39" s="9" t="s">
        <v>18</v>
      </c>
      <c r="L39" s="9"/>
      <c r="M39" s="9"/>
      <c r="N39" s="19">
        <v>0</v>
      </c>
    </row>
    <row r="40" spans="1:14" x14ac:dyDescent="0.35">
      <c r="B40" s="3" t="s">
        <v>270</v>
      </c>
      <c r="C40" s="18">
        <v>0</v>
      </c>
      <c r="D40" s="18">
        <v>1</v>
      </c>
      <c r="E40" s="23" t="s">
        <v>271</v>
      </c>
      <c r="F40" s="2">
        <v>200</v>
      </c>
      <c r="H40" t="s">
        <v>282</v>
      </c>
      <c r="K40" t="s">
        <v>18</v>
      </c>
      <c r="N40" s="27">
        <v>0</v>
      </c>
    </row>
    <row r="41" spans="1:14" x14ac:dyDescent="0.35">
      <c r="B41" s="3" t="s">
        <v>270</v>
      </c>
      <c r="C41" s="18">
        <v>0</v>
      </c>
      <c r="D41" s="18">
        <v>1</v>
      </c>
      <c r="E41" s="23" t="s">
        <v>272</v>
      </c>
      <c r="F41" s="2">
        <v>450</v>
      </c>
      <c r="H41" t="s">
        <v>116</v>
      </c>
      <c r="K41" t="s">
        <v>18</v>
      </c>
      <c r="N41" s="27">
        <v>0</v>
      </c>
    </row>
    <row r="42" spans="1:14" x14ac:dyDescent="0.35">
      <c r="B42" s="3" t="s">
        <v>270</v>
      </c>
      <c r="C42" s="18">
        <v>0</v>
      </c>
      <c r="D42" s="18">
        <v>1</v>
      </c>
      <c r="E42" s="23" t="s">
        <v>273</v>
      </c>
      <c r="F42" s="2">
        <v>850</v>
      </c>
      <c r="H42" t="s">
        <v>116</v>
      </c>
      <c r="K42" t="s">
        <v>18</v>
      </c>
      <c r="N42" s="27">
        <v>0</v>
      </c>
    </row>
    <row r="43" spans="1:14" x14ac:dyDescent="0.35">
      <c r="B43" s="3" t="s">
        <v>270</v>
      </c>
      <c r="C43" s="18">
        <v>0</v>
      </c>
      <c r="D43" s="18">
        <v>1</v>
      </c>
      <c r="E43" s="23" t="s">
        <v>274</v>
      </c>
      <c r="F43" s="2">
        <v>1250</v>
      </c>
      <c r="H43" t="s">
        <v>195</v>
      </c>
      <c r="K43" t="s">
        <v>18</v>
      </c>
      <c r="N43" s="27">
        <v>0</v>
      </c>
    </row>
    <row r="44" spans="1:14" x14ac:dyDescent="0.35">
      <c r="B44" s="3" t="s">
        <v>270</v>
      </c>
      <c r="C44" s="18">
        <v>0</v>
      </c>
      <c r="D44" s="18">
        <v>1</v>
      </c>
      <c r="E44" s="23" t="s">
        <v>275</v>
      </c>
      <c r="F44" s="2">
        <v>1850</v>
      </c>
      <c r="H44" t="s">
        <v>265</v>
      </c>
      <c r="I44" t="s">
        <v>285</v>
      </c>
      <c r="K44" t="s">
        <v>18</v>
      </c>
      <c r="N44" s="27">
        <v>0</v>
      </c>
    </row>
    <row r="45" spans="1:14" x14ac:dyDescent="0.35">
      <c r="B45" s="3" t="s">
        <v>270</v>
      </c>
      <c r="C45" s="18">
        <v>0</v>
      </c>
      <c r="D45" s="18">
        <v>1</v>
      </c>
      <c r="E45" s="23" t="s">
        <v>276</v>
      </c>
      <c r="F45" s="2">
        <v>2750</v>
      </c>
      <c r="H45" t="s">
        <v>283</v>
      </c>
      <c r="I45" t="s">
        <v>284</v>
      </c>
      <c r="K45" t="s">
        <v>18</v>
      </c>
      <c r="N45" s="27">
        <v>0</v>
      </c>
    </row>
    <row r="46" spans="1:14" x14ac:dyDescent="0.35">
      <c r="B46" s="3" t="s">
        <v>277</v>
      </c>
      <c r="C46" s="18">
        <v>0</v>
      </c>
      <c r="D46" s="18">
        <v>1</v>
      </c>
      <c r="E46" s="23" t="s">
        <v>278</v>
      </c>
      <c r="F46" s="2">
        <v>600</v>
      </c>
      <c r="H46" t="s">
        <v>286</v>
      </c>
      <c r="I46" t="s">
        <v>287</v>
      </c>
      <c r="K46" t="s">
        <v>18</v>
      </c>
      <c r="N46" s="27">
        <v>0</v>
      </c>
    </row>
    <row r="47" spans="1:14" x14ac:dyDescent="0.35">
      <c r="B47" s="3" t="s">
        <v>277</v>
      </c>
      <c r="C47" s="18">
        <v>0</v>
      </c>
      <c r="D47" s="18">
        <v>1</v>
      </c>
      <c r="E47" s="23" t="s">
        <v>279</v>
      </c>
      <c r="F47" s="2">
        <v>1250</v>
      </c>
      <c r="H47" t="s">
        <v>168</v>
      </c>
      <c r="I47" t="s">
        <v>285</v>
      </c>
      <c r="K47" t="s">
        <v>13</v>
      </c>
      <c r="N47" s="27">
        <v>0</v>
      </c>
    </row>
    <row r="48" spans="1:14" x14ac:dyDescent="0.35">
      <c r="B48" s="3" t="s">
        <v>277</v>
      </c>
      <c r="C48" s="18">
        <v>0</v>
      </c>
      <c r="D48" s="18">
        <v>1</v>
      </c>
      <c r="E48" s="23" t="s">
        <v>280</v>
      </c>
      <c r="F48" s="2">
        <v>1400</v>
      </c>
      <c r="H48" t="s">
        <v>170</v>
      </c>
      <c r="I48" t="s">
        <v>285</v>
      </c>
      <c r="K48" t="s">
        <v>18</v>
      </c>
      <c r="N48" s="27">
        <v>0</v>
      </c>
    </row>
    <row r="49" spans="1:14" x14ac:dyDescent="0.35">
      <c r="B49" s="3" t="s">
        <v>277</v>
      </c>
      <c r="C49" s="18">
        <v>0</v>
      </c>
      <c r="D49" s="18">
        <v>1</v>
      </c>
      <c r="E49" s="23" t="s">
        <v>281</v>
      </c>
      <c r="F49" s="2">
        <v>800</v>
      </c>
      <c r="G49">
        <v>1</v>
      </c>
      <c r="H49" t="s">
        <v>288</v>
      </c>
      <c r="K49" t="s">
        <v>18</v>
      </c>
      <c r="N49" s="27">
        <v>0</v>
      </c>
    </row>
    <row r="51" spans="1:14" s="20" customFormat="1" x14ac:dyDescent="0.35">
      <c r="A51" s="20">
        <v>10</v>
      </c>
      <c r="B51" s="20" t="s">
        <v>289</v>
      </c>
      <c r="C51" s="21"/>
      <c r="D51" s="21"/>
      <c r="N51" s="22"/>
    </row>
    <row r="52" spans="1:14" x14ac:dyDescent="0.35">
      <c r="A52">
        <f>SUM(D52:D60)</f>
        <v>6</v>
      </c>
      <c r="B52" s="7" t="s">
        <v>81</v>
      </c>
      <c r="C52" s="16">
        <v>0</v>
      </c>
      <c r="D52" s="16">
        <v>0</v>
      </c>
      <c r="E52" s="7"/>
      <c r="F52" s="9"/>
      <c r="G52" s="9"/>
      <c r="H52" s="9"/>
      <c r="I52" s="9"/>
      <c r="J52" s="9"/>
      <c r="K52" s="9" t="s">
        <v>13</v>
      </c>
      <c r="L52" s="9"/>
      <c r="M52" s="9"/>
      <c r="N52" s="19">
        <v>0</v>
      </c>
    </row>
    <row r="53" spans="1:14" x14ac:dyDescent="0.35">
      <c r="A53" t="s">
        <v>223</v>
      </c>
      <c r="B53" s="7" t="s">
        <v>4</v>
      </c>
      <c r="C53" s="16">
        <v>0</v>
      </c>
      <c r="D53" s="16">
        <v>0</v>
      </c>
      <c r="E53" s="7"/>
      <c r="F53" s="9"/>
      <c r="G53" s="9"/>
      <c r="H53" s="9"/>
      <c r="I53" s="9"/>
      <c r="J53" s="9"/>
      <c r="K53" s="9" t="s">
        <v>13</v>
      </c>
      <c r="L53" s="9"/>
      <c r="M53" s="9"/>
      <c r="N53" s="19">
        <v>0</v>
      </c>
    </row>
    <row r="54" spans="1:14" s="9" customFormat="1" x14ac:dyDescent="0.35">
      <c r="B54" s="7" t="s">
        <v>107</v>
      </c>
      <c r="C54" s="16">
        <v>0</v>
      </c>
      <c r="D54" s="16">
        <v>0</v>
      </c>
      <c r="E54" s="7"/>
      <c r="K54" s="9" t="s">
        <v>13</v>
      </c>
      <c r="N54" s="19">
        <v>0</v>
      </c>
    </row>
    <row r="55" spans="1:14" x14ac:dyDescent="0.35">
      <c r="B55" s="3" t="s">
        <v>80</v>
      </c>
      <c r="C55" s="18">
        <v>0</v>
      </c>
      <c r="D55" s="18">
        <v>1</v>
      </c>
      <c r="E55" s="28" t="s">
        <v>290</v>
      </c>
      <c r="F55" s="2">
        <v>0</v>
      </c>
      <c r="H55" t="s">
        <v>291</v>
      </c>
      <c r="K55" t="s">
        <v>18</v>
      </c>
      <c r="N55" s="10">
        <v>1</v>
      </c>
    </row>
    <row r="56" spans="1:14" x14ac:dyDescent="0.35">
      <c r="B56" s="3" t="s">
        <v>80</v>
      </c>
      <c r="C56" s="18">
        <v>0</v>
      </c>
      <c r="D56" s="18">
        <v>1</v>
      </c>
      <c r="E56" s="28" t="s">
        <v>292</v>
      </c>
      <c r="F56" s="2">
        <v>0</v>
      </c>
      <c r="H56" t="s">
        <v>297</v>
      </c>
      <c r="K56" t="s">
        <v>18</v>
      </c>
      <c r="N56" s="10">
        <v>0</v>
      </c>
    </row>
    <row r="57" spans="1:14" x14ac:dyDescent="0.35">
      <c r="B57" s="3" t="s">
        <v>80</v>
      </c>
      <c r="C57" s="18">
        <v>0</v>
      </c>
      <c r="D57" s="18">
        <v>1</v>
      </c>
      <c r="E57" s="28" t="s">
        <v>293</v>
      </c>
      <c r="F57" s="2">
        <v>0</v>
      </c>
      <c r="H57" t="s">
        <v>20</v>
      </c>
      <c r="K57" t="s">
        <v>18</v>
      </c>
      <c r="N57" s="10">
        <v>1</v>
      </c>
    </row>
    <row r="58" spans="1:14" x14ac:dyDescent="0.35">
      <c r="B58" s="3" t="s">
        <v>80</v>
      </c>
      <c r="C58" s="18">
        <v>0</v>
      </c>
      <c r="D58" s="18">
        <v>1</v>
      </c>
      <c r="E58" s="28" t="s">
        <v>294</v>
      </c>
      <c r="F58" s="2">
        <v>0</v>
      </c>
      <c r="H58" t="s">
        <v>168</v>
      </c>
      <c r="I58" t="s">
        <v>298</v>
      </c>
      <c r="K58" t="s">
        <v>18</v>
      </c>
      <c r="N58" s="10">
        <v>0</v>
      </c>
    </row>
    <row r="59" spans="1:14" x14ac:dyDescent="0.35">
      <c r="B59" s="3" t="s">
        <v>80</v>
      </c>
      <c r="C59" s="18">
        <v>0</v>
      </c>
      <c r="D59" s="18">
        <v>1</v>
      </c>
      <c r="E59" s="28" t="s">
        <v>295</v>
      </c>
      <c r="F59" s="2">
        <v>0</v>
      </c>
      <c r="H59" t="s">
        <v>170</v>
      </c>
      <c r="K59" t="s">
        <v>18</v>
      </c>
      <c r="N59" s="10">
        <v>0</v>
      </c>
    </row>
    <row r="60" spans="1:14" x14ac:dyDescent="0.35">
      <c r="B60" s="3" t="s">
        <v>80</v>
      </c>
      <c r="C60" s="18">
        <v>0</v>
      </c>
      <c r="D60" s="18">
        <v>1</v>
      </c>
      <c r="E60" s="28" t="s">
        <v>296</v>
      </c>
      <c r="F60" s="2">
        <v>0</v>
      </c>
      <c r="H60" t="s">
        <v>20</v>
      </c>
      <c r="K60" t="s">
        <v>18</v>
      </c>
      <c r="N60" s="10">
        <v>1</v>
      </c>
    </row>
    <row r="62" spans="1:14" s="20" customFormat="1" x14ac:dyDescent="0.35">
      <c r="A62" s="20">
        <v>11</v>
      </c>
      <c r="B62" s="20" t="s">
        <v>299</v>
      </c>
      <c r="C62" s="21"/>
      <c r="D62" s="21"/>
      <c r="N62" s="22"/>
    </row>
    <row r="63" spans="1:14" x14ac:dyDescent="0.35">
      <c r="A63">
        <f>SUM(D63:D75)</f>
        <v>13</v>
      </c>
      <c r="B63" s="3" t="s">
        <v>80</v>
      </c>
      <c r="C63" s="18">
        <v>0</v>
      </c>
      <c r="D63" s="18">
        <v>1</v>
      </c>
      <c r="E63" s="28" t="s">
        <v>300</v>
      </c>
      <c r="F63" s="2">
        <v>100</v>
      </c>
      <c r="H63" t="s">
        <v>301</v>
      </c>
      <c r="K63" t="s">
        <v>18</v>
      </c>
      <c r="N63" s="10">
        <v>0</v>
      </c>
    </row>
    <row r="64" spans="1:14" x14ac:dyDescent="0.35">
      <c r="A64" t="s">
        <v>225</v>
      </c>
      <c r="B64" s="3" t="s">
        <v>302</v>
      </c>
      <c r="C64" s="18">
        <v>0</v>
      </c>
      <c r="D64" s="18">
        <v>1</v>
      </c>
      <c r="E64" s="28" t="s">
        <v>303</v>
      </c>
      <c r="F64" s="2">
        <v>800</v>
      </c>
      <c r="H64" t="s">
        <v>195</v>
      </c>
      <c r="K64" t="s">
        <v>18</v>
      </c>
      <c r="N64" s="10">
        <v>0</v>
      </c>
    </row>
    <row r="65" spans="1:14" x14ac:dyDescent="0.35">
      <c r="B65" s="3" t="s">
        <v>302</v>
      </c>
      <c r="C65" s="18">
        <v>0</v>
      </c>
      <c r="D65" s="18">
        <v>1</v>
      </c>
      <c r="E65" s="28" t="s">
        <v>304</v>
      </c>
      <c r="F65" s="2">
        <v>1650</v>
      </c>
      <c r="H65" t="s">
        <v>195</v>
      </c>
      <c r="I65" t="s">
        <v>320</v>
      </c>
      <c r="K65" t="s">
        <v>18</v>
      </c>
      <c r="N65" s="10">
        <v>0</v>
      </c>
    </row>
    <row r="66" spans="1:14" x14ac:dyDescent="0.35">
      <c r="B66" s="3" t="s">
        <v>302</v>
      </c>
      <c r="C66" s="18">
        <v>0</v>
      </c>
      <c r="D66" s="18">
        <v>1</v>
      </c>
      <c r="E66" s="28" t="s">
        <v>305</v>
      </c>
      <c r="F66" s="2">
        <v>2250</v>
      </c>
      <c r="H66" t="s">
        <v>323</v>
      </c>
      <c r="I66" t="s">
        <v>321</v>
      </c>
      <c r="K66" t="s">
        <v>18</v>
      </c>
      <c r="N66" s="10">
        <v>0</v>
      </c>
    </row>
    <row r="67" spans="1:14" x14ac:dyDescent="0.35">
      <c r="B67" s="3" t="s">
        <v>302</v>
      </c>
      <c r="C67" s="18">
        <v>0</v>
      </c>
      <c r="D67" s="18">
        <v>1</v>
      </c>
      <c r="E67" s="28" t="s">
        <v>306</v>
      </c>
      <c r="F67" s="2">
        <v>5800</v>
      </c>
      <c r="H67" t="s">
        <v>265</v>
      </c>
      <c r="K67" t="s">
        <v>18</v>
      </c>
      <c r="N67" s="10">
        <v>0</v>
      </c>
    </row>
    <row r="68" spans="1:14" x14ac:dyDescent="0.35">
      <c r="B68" s="3" t="s">
        <v>80</v>
      </c>
      <c r="C68" s="18">
        <v>0</v>
      </c>
      <c r="D68" s="18">
        <v>1</v>
      </c>
      <c r="E68" s="28" t="s">
        <v>307</v>
      </c>
      <c r="F68" s="2">
        <v>2400</v>
      </c>
      <c r="H68" t="s">
        <v>162</v>
      </c>
      <c r="K68" t="s">
        <v>18</v>
      </c>
      <c r="N68" s="10">
        <v>0</v>
      </c>
    </row>
    <row r="69" spans="1:14" x14ac:dyDescent="0.35">
      <c r="B69" s="3" t="s">
        <v>80</v>
      </c>
      <c r="C69" s="18">
        <v>0</v>
      </c>
      <c r="D69" s="18">
        <v>1</v>
      </c>
      <c r="E69" s="28" t="s">
        <v>308</v>
      </c>
      <c r="F69" s="2" t="s">
        <v>322</v>
      </c>
      <c r="H69" t="s">
        <v>324</v>
      </c>
      <c r="K69" t="s">
        <v>18</v>
      </c>
      <c r="N69" s="10">
        <v>0</v>
      </c>
    </row>
    <row r="70" spans="1:14" x14ac:dyDescent="0.35">
      <c r="B70" s="3" t="s">
        <v>309</v>
      </c>
      <c r="C70" s="18">
        <v>0</v>
      </c>
      <c r="D70" s="18">
        <v>1</v>
      </c>
      <c r="E70" s="28" t="s">
        <v>313</v>
      </c>
      <c r="F70" s="2" t="s">
        <v>319</v>
      </c>
      <c r="H70" t="s">
        <v>315</v>
      </c>
      <c r="I70" t="s">
        <v>314</v>
      </c>
      <c r="K70" t="s">
        <v>18</v>
      </c>
      <c r="N70" s="10">
        <v>0</v>
      </c>
    </row>
    <row r="71" spans="1:14" x14ac:dyDescent="0.35">
      <c r="B71" s="3" t="s">
        <v>309</v>
      </c>
      <c r="C71" s="18">
        <v>0</v>
      </c>
      <c r="D71" s="18">
        <v>1</v>
      </c>
      <c r="E71" s="28" t="s">
        <v>316</v>
      </c>
      <c r="F71" s="2">
        <v>850</v>
      </c>
      <c r="H71" t="s">
        <v>315</v>
      </c>
      <c r="I71" t="s">
        <v>312</v>
      </c>
      <c r="K71" t="s">
        <v>18</v>
      </c>
      <c r="N71" s="10">
        <v>0</v>
      </c>
    </row>
    <row r="72" spans="1:14" x14ac:dyDescent="0.35">
      <c r="B72" s="3" t="s">
        <v>309</v>
      </c>
      <c r="C72" s="18">
        <v>0</v>
      </c>
      <c r="D72" s="18">
        <v>1</v>
      </c>
      <c r="E72" s="28" t="s">
        <v>317</v>
      </c>
      <c r="F72" s="2">
        <v>1200</v>
      </c>
      <c r="H72" t="s">
        <v>315</v>
      </c>
      <c r="I72" t="s">
        <v>312</v>
      </c>
      <c r="K72" t="s">
        <v>18</v>
      </c>
      <c r="N72" s="10">
        <v>0</v>
      </c>
    </row>
    <row r="73" spans="1:14" x14ac:dyDescent="0.35">
      <c r="B73" s="3" t="s">
        <v>309</v>
      </c>
      <c r="C73" s="18">
        <v>0</v>
      </c>
      <c r="D73" s="18">
        <v>1</v>
      </c>
      <c r="E73" s="28" t="s">
        <v>318</v>
      </c>
      <c r="F73" s="2">
        <v>2400</v>
      </c>
      <c r="H73" t="s">
        <v>315</v>
      </c>
      <c r="I73" t="s">
        <v>312</v>
      </c>
      <c r="K73" t="s">
        <v>18</v>
      </c>
      <c r="N73" s="10">
        <v>0</v>
      </c>
    </row>
    <row r="74" spans="1:14" x14ac:dyDescent="0.35">
      <c r="B74" s="3" t="s">
        <v>80</v>
      </c>
      <c r="C74" s="18">
        <v>0</v>
      </c>
      <c r="D74" s="18">
        <v>1</v>
      </c>
      <c r="E74" s="28" t="s">
        <v>310</v>
      </c>
      <c r="F74" s="2">
        <v>0</v>
      </c>
      <c r="H74" t="s">
        <v>325</v>
      </c>
      <c r="K74" t="s">
        <v>18</v>
      </c>
      <c r="N74" s="10">
        <v>0</v>
      </c>
    </row>
    <row r="75" spans="1:14" x14ac:dyDescent="0.35">
      <c r="B75" s="3" t="s">
        <v>80</v>
      </c>
      <c r="C75" s="18">
        <v>0</v>
      </c>
      <c r="D75" s="18">
        <v>1</v>
      </c>
      <c r="E75" s="28" t="s">
        <v>311</v>
      </c>
      <c r="F75" s="2">
        <v>0</v>
      </c>
      <c r="H75" t="s">
        <v>326</v>
      </c>
      <c r="K75" t="s">
        <v>18</v>
      </c>
      <c r="N75" s="10">
        <v>0</v>
      </c>
    </row>
    <row r="76" spans="1:14" x14ac:dyDescent="0.35">
      <c r="E76" s="29"/>
    </row>
    <row r="77" spans="1:14" s="20" customFormat="1" x14ac:dyDescent="0.35">
      <c r="A77" s="20">
        <v>12</v>
      </c>
      <c r="B77" s="20" t="s">
        <v>327</v>
      </c>
      <c r="C77" s="21"/>
      <c r="D77" s="21"/>
      <c r="N77" s="22"/>
    </row>
    <row r="78" spans="1:14" x14ac:dyDescent="0.35">
      <c r="A78">
        <f>SUM(D78:D130)</f>
        <v>40</v>
      </c>
      <c r="B78" s="7" t="s">
        <v>152</v>
      </c>
      <c r="C78" s="16">
        <v>0</v>
      </c>
      <c r="D78" s="16">
        <v>0</v>
      </c>
      <c r="E78" s="7" t="s">
        <v>328</v>
      </c>
      <c r="F78" s="8">
        <v>50</v>
      </c>
      <c r="G78" s="9"/>
      <c r="H78" s="9" t="s">
        <v>351</v>
      </c>
      <c r="I78" s="9"/>
      <c r="J78" s="9"/>
      <c r="K78" s="9" t="s">
        <v>18</v>
      </c>
      <c r="L78" s="9"/>
      <c r="M78" s="9"/>
      <c r="N78" s="10">
        <v>0</v>
      </c>
    </row>
    <row r="79" spans="1:14" x14ac:dyDescent="0.35">
      <c r="A79" t="s">
        <v>222</v>
      </c>
      <c r="B79" s="3" t="s">
        <v>329</v>
      </c>
      <c r="C79" s="18">
        <v>0</v>
      </c>
      <c r="D79" s="18">
        <v>1</v>
      </c>
      <c r="E79" s="25" t="s">
        <v>330</v>
      </c>
      <c r="F79" s="2">
        <v>100</v>
      </c>
      <c r="H79" t="s">
        <v>160</v>
      </c>
      <c r="K79" t="s">
        <v>18</v>
      </c>
      <c r="N79" s="10">
        <v>0</v>
      </c>
    </row>
    <row r="80" spans="1:14" x14ac:dyDescent="0.35">
      <c r="B80" s="3" t="s">
        <v>329</v>
      </c>
      <c r="C80" s="18">
        <v>0</v>
      </c>
      <c r="D80" s="18">
        <v>1</v>
      </c>
      <c r="E80" s="25" t="s">
        <v>331</v>
      </c>
      <c r="F80" s="2">
        <v>200</v>
      </c>
      <c r="H80" t="s">
        <v>160</v>
      </c>
      <c r="K80" t="s">
        <v>18</v>
      </c>
      <c r="N80" s="10">
        <v>0</v>
      </c>
    </row>
    <row r="81" spans="1:15" x14ac:dyDescent="0.35">
      <c r="B81" s="3" t="s">
        <v>329</v>
      </c>
      <c r="C81" s="18">
        <v>0</v>
      </c>
      <c r="D81" s="18">
        <v>1</v>
      </c>
      <c r="E81" s="25" t="s">
        <v>332</v>
      </c>
      <c r="F81" s="2">
        <v>250</v>
      </c>
      <c r="H81" t="s">
        <v>160</v>
      </c>
      <c r="K81" t="s">
        <v>18</v>
      </c>
      <c r="N81" s="10">
        <v>0</v>
      </c>
    </row>
    <row r="82" spans="1:15" x14ac:dyDescent="0.35">
      <c r="B82" s="3" t="s">
        <v>80</v>
      </c>
      <c r="C82" s="18">
        <v>0</v>
      </c>
      <c r="D82" s="18">
        <v>1</v>
      </c>
      <c r="E82" s="25" t="s">
        <v>333</v>
      </c>
      <c r="F82" s="2">
        <v>3000</v>
      </c>
      <c r="H82" t="s">
        <v>168</v>
      </c>
      <c r="I82" t="s">
        <v>334</v>
      </c>
      <c r="K82" t="s">
        <v>18</v>
      </c>
      <c r="N82" s="10">
        <v>0</v>
      </c>
    </row>
    <row r="83" spans="1:15" x14ac:dyDescent="0.35">
      <c r="B83" s="3" t="s">
        <v>80</v>
      </c>
      <c r="C83" s="18">
        <v>0</v>
      </c>
      <c r="D83" s="18">
        <v>1</v>
      </c>
      <c r="E83" s="25" t="s">
        <v>335</v>
      </c>
      <c r="F83" s="2">
        <v>500</v>
      </c>
      <c r="H83" t="s">
        <v>337</v>
      </c>
      <c r="I83" t="s">
        <v>336</v>
      </c>
      <c r="K83" t="s">
        <v>18</v>
      </c>
      <c r="N83" s="10">
        <v>0</v>
      </c>
    </row>
    <row r="84" spans="1:15" x14ac:dyDescent="0.35">
      <c r="B84" s="3" t="s">
        <v>80</v>
      </c>
      <c r="C84" s="18">
        <v>0</v>
      </c>
      <c r="D84" s="18">
        <v>1</v>
      </c>
      <c r="E84" s="25" t="s">
        <v>338</v>
      </c>
      <c r="F84" s="2">
        <v>300</v>
      </c>
      <c r="H84" t="s">
        <v>170</v>
      </c>
      <c r="K84" t="s">
        <v>211</v>
      </c>
      <c r="N84" s="10">
        <v>0</v>
      </c>
    </row>
    <row r="85" spans="1:15" x14ac:dyDescent="0.35">
      <c r="B85" s="3" t="s">
        <v>80</v>
      </c>
      <c r="C85" s="18">
        <v>0</v>
      </c>
      <c r="D85" s="18">
        <v>1</v>
      </c>
      <c r="E85" s="25" t="s">
        <v>339</v>
      </c>
      <c r="F85" s="2">
        <v>850</v>
      </c>
      <c r="H85" t="s">
        <v>162</v>
      </c>
      <c r="K85" t="s">
        <v>211</v>
      </c>
      <c r="N85" s="10">
        <v>0</v>
      </c>
    </row>
    <row r="86" spans="1:15" x14ac:dyDescent="0.35">
      <c r="B86" s="3" t="s">
        <v>80</v>
      </c>
      <c r="C86" s="18">
        <v>0</v>
      </c>
      <c r="D86" s="18">
        <v>1</v>
      </c>
      <c r="E86" s="25" t="s">
        <v>340</v>
      </c>
      <c r="F86" s="2">
        <v>100</v>
      </c>
      <c r="H86" t="s">
        <v>341</v>
      </c>
      <c r="K86" t="s">
        <v>18</v>
      </c>
      <c r="N86" s="10">
        <v>1</v>
      </c>
    </row>
    <row r="87" spans="1:15" x14ac:dyDescent="0.35">
      <c r="B87" s="3" t="s">
        <v>80</v>
      </c>
      <c r="C87" s="18">
        <v>0</v>
      </c>
      <c r="D87" s="18">
        <v>1</v>
      </c>
      <c r="E87" s="25" t="s">
        <v>342</v>
      </c>
      <c r="F87" s="2">
        <v>325</v>
      </c>
      <c r="H87" t="s">
        <v>343</v>
      </c>
      <c r="K87" t="s">
        <v>18</v>
      </c>
      <c r="N87" s="10">
        <v>0</v>
      </c>
    </row>
    <row r="88" spans="1:15" x14ac:dyDescent="0.35">
      <c r="B88" s="3" t="s">
        <v>80</v>
      </c>
      <c r="C88" s="18">
        <v>0</v>
      </c>
      <c r="D88" s="18">
        <v>1</v>
      </c>
      <c r="E88" s="25" t="s">
        <v>344</v>
      </c>
      <c r="F88" s="2">
        <v>600</v>
      </c>
      <c r="H88" t="s">
        <v>265</v>
      </c>
      <c r="K88" t="s">
        <v>18</v>
      </c>
      <c r="N88" s="10">
        <v>1</v>
      </c>
    </row>
    <row r="89" spans="1:15" x14ac:dyDescent="0.35">
      <c r="B89" s="3" t="s">
        <v>80</v>
      </c>
      <c r="C89" s="18">
        <v>0</v>
      </c>
      <c r="D89" s="18">
        <v>1</v>
      </c>
      <c r="E89" s="25" t="s">
        <v>345</v>
      </c>
      <c r="F89" s="2">
        <v>750</v>
      </c>
      <c r="H89" t="s">
        <v>291</v>
      </c>
      <c r="K89" t="s">
        <v>18</v>
      </c>
      <c r="N89" s="10">
        <v>0</v>
      </c>
    </row>
    <row r="90" spans="1:15" x14ac:dyDescent="0.35">
      <c r="B90" s="3"/>
      <c r="E90" s="25"/>
      <c r="F90" s="2"/>
    </row>
    <row r="91" spans="1:15" x14ac:dyDescent="0.35">
      <c r="A91" s="20">
        <v>12</v>
      </c>
      <c r="B91" s="20" t="s">
        <v>346</v>
      </c>
      <c r="C91" s="21"/>
      <c r="D91" s="21"/>
      <c r="E91" s="20"/>
      <c r="F91" s="20"/>
      <c r="G91" s="20"/>
      <c r="H91" s="20"/>
      <c r="I91" s="20"/>
      <c r="J91" s="20"/>
      <c r="K91" s="20"/>
      <c r="L91" s="20"/>
      <c r="M91" s="20"/>
      <c r="N91" s="22"/>
      <c r="O91" s="20"/>
    </row>
    <row r="92" spans="1:15" x14ac:dyDescent="0.35">
      <c r="A92">
        <f>SUM(D92:D149)</f>
        <v>175</v>
      </c>
      <c r="B92" s="7" t="s">
        <v>152</v>
      </c>
      <c r="C92" s="16">
        <v>0</v>
      </c>
      <c r="D92" s="16">
        <v>0</v>
      </c>
      <c r="E92" s="7" t="s">
        <v>347</v>
      </c>
      <c r="F92" s="8">
        <v>75</v>
      </c>
      <c r="G92" s="9"/>
      <c r="H92" s="9" t="s">
        <v>352</v>
      </c>
      <c r="I92" s="9"/>
      <c r="J92" s="9"/>
      <c r="K92" s="9" t="s">
        <v>13</v>
      </c>
      <c r="L92" s="9"/>
      <c r="M92" s="9"/>
      <c r="N92" s="10">
        <v>0</v>
      </c>
    </row>
    <row r="93" spans="1:15" x14ac:dyDescent="0.35">
      <c r="A93" t="s">
        <v>222</v>
      </c>
      <c r="B93" s="7" t="s">
        <v>152</v>
      </c>
      <c r="C93" s="16">
        <v>0</v>
      </c>
      <c r="D93" s="16">
        <v>0</v>
      </c>
      <c r="E93" s="7" t="s">
        <v>348</v>
      </c>
      <c r="F93" s="8">
        <v>200</v>
      </c>
      <c r="G93" s="9"/>
      <c r="H93" s="9" t="s">
        <v>12</v>
      </c>
      <c r="I93" s="9"/>
      <c r="J93" s="9"/>
      <c r="K93" s="9" t="s">
        <v>13</v>
      </c>
      <c r="L93" s="9"/>
      <c r="M93" s="9"/>
      <c r="N93" s="10">
        <v>0</v>
      </c>
    </row>
    <row r="94" spans="1:15" x14ac:dyDescent="0.35">
      <c r="B94" s="7" t="s">
        <v>152</v>
      </c>
      <c r="C94" s="16">
        <v>0</v>
      </c>
      <c r="D94" s="16">
        <v>0</v>
      </c>
      <c r="E94" s="7" t="s">
        <v>349</v>
      </c>
      <c r="F94" s="8">
        <v>50</v>
      </c>
      <c r="G94" s="9"/>
      <c r="H94" s="9" t="s">
        <v>12</v>
      </c>
      <c r="I94" s="9"/>
      <c r="J94" s="9"/>
      <c r="K94" s="9" t="s">
        <v>13</v>
      </c>
      <c r="L94" s="9"/>
      <c r="M94" s="9"/>
      <c r="N94" s="10">
        <v>0</v>
      </c>
    </row>
    <row r="95" spans="1:15" x14ac:dyDescent="0.35">
      <c r="B95" s="7" t="s">
        <v>152</v>
      </c>
      <c r="C95" s="16">
        <v>0</v>
      </c>
      <c r="D95" s="16">
        <v>0</v>
      </c>
      <c r="E95" s="7" t="s">
        <v>350</v>
      </c>
      <c r="F95" s="8">
        <v>200</v>
      </c>
      <c r="G95" s="9"/>
      <c r="H95" s="9" t="s">
        <v>353</v>
      </c>
      <c r="I95" s="9"/>
      <c r="J95" s="9"/>
      <c r="K95" s="9" t="s">
        <v>13</v>
      </c>
      <c r="L95" s="9"/>
      <c r="M95" s="9"/>
      <c r="N95" s="10">
        <v>0</v>
      </c>
    </row>
    <row r="96" spans="1:15" x14ac:dyDescent="0.35">
      <c r="B96" s="3" t="s">
        <v>80</v>
      </c>
      <c r="C96" s="18">
        <v>0</v>
      </c>
      <c r="D96" s="18">
        <v>1</v>
      </c>
      <c r="E96" s="25" t="s">
        <v>354</v>
      </c>
      <c r="F96" s="2">
        <v>150</v>
      </c>
      <c r="K96" t="s">
        <v>18</v>
      </c>
      <c r="N96" s="10">
        <v>0</v>
      </c>
    </row>
    <row r="97" spans="2:14" x14ac:dyDescent="0.35">
      <c r="B97" s="3" t="s">
        <v>80</v>
      </c>
      <c r="C97" s="18">
        <v>0</v>
      </c>
      <c r="D97" s="18">
        <v>1</v>
      </c>
      <c r="E97" s="25" t="s">
        <v>355</v>
      </c>
      <c r="F97" s="2">
        <v>425</v>
      </c>
      <c r="K97" t="s">
        <v>18</v>
      </c>
      <c r="N97" s="10">
        <v>0</v>
      </c>
    </row>
    <row r="98" spans="2:14" x14ac:dyDescent="0.35">
      <c r="B98" s="3" t="s">
        <v>80</v>
      </c>
      <c r="C98" s="18">
        <v>0</v>
      </c>
      <c r="D98" s="18">
        <v>1</v>
      </c>
      <c r="E98" s="25" t="s">
        <v>356</v>
      </c>
      <c r="F98" s="2">
        <v>1200</v>
      </c>
      <c r="K98" t="s">
        <v>18</v>
      </c>
      <c r="N98" s="10">
        <v>0</v>
      </c>
    </row>
    <row r="99" spans="2:14" x14ac:dyDescent="0.35">
      <c r="B99" s="3" t="s">
        <v>80</v>
      </c>
      <c r="C99" s="18">
        <v>0</v>
      </c>
      <c r="D99" s="18">
        <v>1</v>
      </c>
      <c r="E99" s="25" t="s">
        <v>357</v>
      </c>
      <c r="F99" s="2">
        <v>1850</v>
      </c>
      <c r="K99" t="s">
        <v>18</v>
      </c>
      <c r="N99" s="10">
        <v>0</v>
      </c>
    </row>
    <row r="100" spans="2:14" x14ac:dyDescent="0.35">
      <c r="B100" s="3" t="s">
        <v>80</v>
      </c>
      <c r="C100" s="18">
        <v>0</v>
      </c>
      <c r="D100" s="18">
        <v>1</v>
      </c>
      <c r="E100" s="25" t="s">
        <v>358</v>
      </c>
      <c r="F100" s="2">
        <v>3000</v>
      </c>
      <c r="K100" t="s">
        <v>18</v>
      </c>
      <c r="N100" s="10">
        <v>0</v>
      </c>
    </row>
    <row r="101" spans="2:14" x14ac:dyDescent="0.35">
      <c r="B101" s="3" t="s">
        <v>80</v>
      </c>
      <c r="C101" s="18">
        <v>0</v>
      </c>
      <c r="D101" s="18">
        <v>1</v>
      </c>
      <c r="E101" s="25" t="s">
        <v>359</v>
      </c>
      <c r="F101" s="2">
        <v>1600</v>
      </c>
      <c r="K101" t="s">
        <v>18</v>
      </c>
      <c r="N101" s="10">
        <v>0</v>
      </c>
    </row>
    <row r="102" spans="2:14" x14ac:dyDescent="0.35">
      <c r="B102" s="3" t="s">
        <v>80</v>
      </c>
      <c r="C102" s="18">
        <v>0</v>
      </c>
      <c r="D102" s="18">
        <v>1</v>
      </c>
      <c r="E102" s="25" t="s">
        <v>360</v>
      </c>
      <c r="F102" s="2">
        <v>750</v>
      </c>
      <c r="K102" t="s">
        <v>18</v>
      </c>
      <c r="N102" s="10">
        <v>0</v>
      </c>
    </row>
    <row r="103" spans="2:14" x14ac:dyDescent="0.35">
      <c r="B103" s="3" t="s">
        <v>80</v>
      </c>
      <c r="C103" s="18">
        <v>0</v>
      </c>
      <c r="D103" s="18">
        <v>1</v>
      </c>
      <c r="E103" s="25" t="s">
        <v>361</v>
      </c>
      <c r="F103" s="2">
        <v>100</v>
      </c>
      <c r="K103" t="s">
        <v>18</v>
      </c>
      <c r="N103" s="10">
        <v>0</v>
      </c>
    </row>
    <row r="104" spans="2:14" x14ac:dyDescent="0.35">
      <c r="B104" s="3" t="s">
        <v>80</v>
      </c>
      <c r="C104" s="18">
        <v>0</v>
      </c>
      <c r="D104" s="18">
        <v>1</v>
      </c>
      <c r="E104" s="25" t="s">
        <v>362</v>
      </c>
      <c r="F104" s="2">
        <v>650</v>
      </c>
      <c r="K104" t="s">
        <v>18</v>
      </c>
      <c r="N104" s="10">
        <v>0</v>
      </c>
    </row>
    <row r="105" spans="2:14" x14ac:dyDescent="0.35">
      <c r="B105" s="3" t="s">
        <v>80</v>
      </c>
      <c r="C105" s="18">
        <v>0</v>
      </c>
      <c r="D105" s="18">
        <v>1</v>
      </c>
      <c r="E105" s="25" t="s">
        <v>363</v>
      </c>
      <c r="F105" s="2">
        <v>750</v>
      </c>
      <c r="K105" t="s">
        <v>18</v>
      </c>
      <c r="N105" s="10">
        <v>0</v>
      </c>
    </row>
    <row r="106" spans="2:14" x14ac:dyDescent="0.35">
      <c r="B106" s="3" t="s">
        <v>80</v>
      </c>
      <c r="C106" s="18">
        <v>0</v>
      </c>
      <c r="D106" s="18">
        <v>1</v>
      </c>
      <c r="E106" s="25" t="s">
        <v>364</v>
      </c>
      <c r="F106" s="2">
        <v>800</v>
      </c>
      <c r="K106" t="s">
        <v>18</v>
      </c>
      <c r="N106" s="10">
        <v>0</v>
      </c>
    </row>
    <row r="107" spans="2:14" x14ac:dyDescent="0.35">
      <c r="B107" s="3" t="s">
        <v>80</v>
      </c>
      <c r="C107" s="18">
        <v>0</v>
      </c>
      <c r="D107" s="18">
        <v>1</v>
      </c>
      <c r="E107" s="25" t="s">
        <v>365</v>
      </c>
      <c r="F107" s="2">
        <v>1800</v>
      </c>
      <c r="K107" t="s">
        <v>18</v>
      </c>
      <c r="N107" s="10">
        <v>0</v>
      </c>
    </row>
    <row r="108" spans="2:14" x14ac:dyDescent="0.35">
      <c r="B108" s="3" t="s">
        <v>80</v>
      </c>
      <c r="C108" s="18">
        <v>0</v>
      </c>
      <c r="D108" s="18">
        <v>1</v>
      </c>
      <c r="E108" s="25" t="s">
        <v>366</v>
      </c>
      <c r="F108" s="2">
        <v>50</v>
      </c>
      <c r="K108" t="s">
        <v>18</v>
      </c>
      <c r="N108" s="10">
        <v>0</v>
      </c>
    </row>
    <row r="109" spans="2:14" x14ac:dyDescent="0.35">
      <c r="B109" s="3" t="s">
        <v>80</v>
      </c>
      <c r="C109" s="18">
        <v>0</v>
      </c>
      <c r="D109" s="18">
        <v>1</v>
      </c>
      <c r="E109" s="25" t="s">
        <v>367</v>
      </c>
      <c r="F109" s="2">
        <v>450</v>
      </c>
      <c r="K109" t="s">
        <v>18</v>
      </c>
      <c r="N109" s="10">
        <v>0</v>
      </c>
    </row>
    <row r="110" spans="2:14" x14ac:dyDescent="0.35">
      <c r="B110" s="3" t="s">
        <v>80</v>
      </c>
      <c r="C110" s="18">
        <v>0</v>
      </c>
      <c r="D110" s="18">
        <v>1</v>
      </c>
      <c r="E110" s="25" t="s">
        <v>368</v>
      </c>
      <c r="F110" s="2">
        <v>1250</v>
      </c>
      <c r="K110" t="s">
        <v>18</v>
      </c>
      <c r="N110" s="10">
        <v>0</v>
      </c>
    </row>
    <row r="111" spans="2:14" x14ac:dyDescent="0.35">
      <c r="B111" s="3" t="s">
        <v>80</v>
      </c>
      <c r="C111" s="18">
        <v>0</v>
      </c>
      <c r="D111" s="18">
        <v>1</v>
      </c>
      <c r="E111" s="25" t="s">
        <v>369</v>
      </c>
      <c r="F111" s="2">
        <v>1000</v>
      </c>
      <c r="K111" t="s">
        <v>18</v>
      </c>
      <c r="N111" s="10">
        <v>0</v>
      </c>
    </row>
    <row r="112" spans="2:14" x14ac:dyDescent="0.35">
      <c r="B112" s="3" t="s">
        <v>80</v>
      </c>
      <c r="C112" s="18">
        <v>0</v>
      </c>
      <c r="D112" s="18">
        <v>1</v>
      </c>
      <c r="E112" s="25" t="s">
        <v>370</v>
      </c>
      <c r="F112" s="2">
        <v>350</v>
      </c>
      <c r="K112" t="s">
        <v>18</v>
      </c>
      <c r="N112" s="10">
        <v>0</v>
      </c>
    </row>
    <row r="113" spans="1:15" x14ac:dyDescent="0.35">
      <c r="B113" s="3" t="s">
        <v>80</v>
      </c>
      <c r="C113" s="18">
        <v>0</v>
      </c>
      <c r="D113" s="18">
        <v>1</v>
      </c>
      <c r="E113" s="25" t="s">
        <v>371</v>
      </c>
      <c r="F113" s="2">
        <v>860</v>
      </c>
      <c r="K113" t="s">
        <v>18</v>
      </c>
      <c r="N113" s="10">
        <v>0</v>
      </c>
    </row>
    <row r="114" spans="1:15" x14ac:dyDescent="0.35">
      <c r="B114" s="3"/>
      <c r="E114" s="25"/>
      <c r="F114" s="2"/>
    </row>
    <row r="115" spans="1:15" x14ac:dyDescent="0.35">
      <c r="A115" s="20">
        <v>12</v>
      </c>
      <c r="B115" s="20" t="s">
        <v>346</v>
      </c>
      <c r="C115" s="21"/>
      <c r="D115" s="21"/>
      <c r="E115" s="20"/>
      <c r="F115" s="20"/>
      <c r="G115" s="20"/>
      <c r="H115" s="20"/>
      <c r="I115" s="20"/>
      <c r="J115" s="20"/>
      <c r="K115" s="20"/>
      <c r="L115" s="20"/>
      <c r="M115" s="20"/>
      <c r="N115" s="22"/>
      <c r="O115" s="20"/>
    </row>
    <row r="116" spans="1:15" x14ac:dyDescent="0.35">
      <c r="A116">
        <f>SUM(D116:D173)</f>
        <v>157</v>
      </c>
      <c r="B116" s="3" t="s">
        <v>80</v>
      </c>
      <c r="C116" s="18">
        <v>0</v>
      </c>
      <c r="D116" s="18">
        <v>1</v>
      </c>
      <c r="E116" s="25" t="s">
        <v>354</v>
      </c>
      <c r="F116" s="2">
        <v>150</v>
      </c>
      <c r="K116" t="s">
        <v>18</v>
      </c>
      <c r="N116" s="10">
        <v>0</v>
      </c>
    </row>
    <row r="117" spans="1:15" x14ac:dyDescent="0.35">
      <c r="A117" t="s">
        <v>222</v>
      </c>
      <c r="B117" s="3" t="s">
        <v>80</v>
      </c>
      <c r="C117" s="18">
        <v>0</v>
      </c>
      <c r="D117" s="18">
        <v>1</v>
      </c>
      <c r="E117" s="25" t="s">
        <v>355</v>
      </c>
      <c r="F117" s="2">
        <v>425</v>
      </c>
      <c r="K117" t="s">
        <v>18</v>
      </c>
      <c r="N117" s="10">
        <v>0</v>
      </c>
    </row>
    <row r="118" spans="1:15" x14ac:dyDescent="0.35">
      <c r="B118" s="3" t="s">
        <v>80</v>
      </c>
      <c r="C118" s="18">
        <v>0</v>
      </c>
      <c r="D118" s="18">
        <v>1</v>
      </c>
      <c r="E118" s="25" t="s">
        <v>356</v>
      </c>
      <c r="F118" s="2">
        <v>1200</v>
      </c>
      <c r="K118" t="s">
        <v>18</v>
      </c>
      <c r="N118" s="10">
        <v>0</v>
      </c>
    </row>
    <row r="119" spans="1:15" x14ac:dyDescent="0.35">
      <c r="B119" s="3" t="s">
        <v>80</v>
      </c>
      <c r="C119" s="18">
        <v>0</v>
      </c>
      <c r="D119" s="18">
        <v>1</v>
      </c>
      <c r="E119" s="25" t="s">
        <v>357</v>
      </c>
      <c r="F119" s="2">
        <v>1850</v>
      </c>
      <c r="K119" t="s">
        <v>18</v>
      </c>
      <c r="N119" s="10">
        <v>0</v>
      </c>
    </row>
    <row r="120" spans="1:15" x14ac:dyDescent="0.35">
      <c r="B120" s="3"/>
      <c r="E120" s="25"/>
      <c r="F120" s="2"/>
    </row>
    <row r="121" spans="1:15" x14ac:dyDescent="0.35">
      <c r="A121" s="20">
        <v>12</v>
      </c>
      <c r="B121" s="20" t="s">
        <v>346</v>
      </c>
      <c r="C121" s="21"/>
      <c r="D121" s="21"/>
      <c r="E121" s="20"/>
      <c r="F121" s="20"/>
      <c r="G121" s="20"/>
      <c r="H121" s="20"/>
      <c r="I121" s="20"/>
      <c r="J121" s="20"/>
      <c r="K121" s="20"/>
      <c r="L121" s="20"/>
      <c r="M121" s="20"/>
      <c r="N121" s="22"/>
      <c r="O121" s="20"/>
    </row>
    <row r="122" spans="1:15" x14ac:dyDescent="0.35">
      <c r="A122">
        <f>SUM(D122:D179)</f>
        <v>153</v>
      </c>
      <c r="B122" s="3" t="s">
        <v>80</v>
      </c>
      <c r="C122" s="18">
        <v>0</v>
      </c>
      <c r="D122" s="18">
        <v>1</v>
      </c>
      <c r="E122" s="25" t="s">
        <v>354</v>
      </c>
      <c r="F122" s="2">
        <v>150</v>
      </c>
      <c r="K122" t="s">
        <v>18</v>
      </c>
      <c r="N122" s="10">
        <v>0</v>
      </c>
    </row>
    <row r="123" spans="1:15" x14ac:dyDescent="0.35">
      <c r="A123" t="s">
        <v>222</v>
      </c>
      <c r="B123" s="3" t="s">
        <v>80</v>
      </c>
      <c r="C123" s="18">
        <v>0</v>
      </c>
      <c r="D123" s="18">
        <v>1</v>
      </c>
      <c r="E123" s="25" t="s">
        <v>355</v>
      </c>
      <c r="F123" s="2">
        <v>425</v>
      </c>
      <c r="K123" t="s">
        <v>18</v>
      </c>
      <c r="N123" s="10">
        <v>0</v>
      </c>
    </row>
    <row r="124" spans="1:15" x14ac:dyDescent="0.35">
      <c r="B124" s="3" t="s">
        <v>80</v>
      </c>
      <c r="C124" s="18">
        <v>0</v>
      </c>
      <c r="D124" s="18">
        <v>1</v>
      </c>
      <c r="E124" s="25" t="s">
        <v>356</v>
      </c>
      <c r="F124" s="2">
        <v>1200</v>
      </c>
      <c r="K124" t="s">
        <v>18</v>
      </c>
      <c r="N124" s="10">
        <v>0</v>
      </c>
    </row>
    <row r="125" spans="1:15" x14ac:dyDescent="0.35">
      <c r="B125" s="3" t="s">
        <v>80</v>
      </c>
      <c r="C125" s="18">
        <v>0</v>
      </c>
      <c r="D125" s="18">
        <v>1</v>
      </c>
      <c r="E125" s="25" t="s">
        <v>357</v>
      </c>
      <c r="F125" s="2">
        <v>1850</v>
      </c>
      <c r="K125" t="s">
        <v>18</v>
      </c>
      <c r="N125" s="10">
        <v>0</v>
      </c>
    </row>
    <row r="126" spans="1:15" x14ac:dyDescent="0.35">
      <c r="B126" s="3"/>
      <c r="E126" s="25"/>
      <c r="F126" s="2"/>
    </row>
    <row r="127" spans="1:15" x14ac:dyDescent="0.35">
      <c r="A127" s="20">
        <v>12</v>
      </c>
      <c r="B127" s="20" t="s">
        <v>346</v>
      </c>
      <c r="C127" s="21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2"/>
      <c r="O127" s="20"/>
    </row>
    <row r="128" spans="1:15" x14ac:dyDescent="0.35">
      <c r="A128">
        <f>SUM(D128:D185)</f>
        <v>149</v>
      </c>
      <c r="B128" s="3" t="s">
        <v>80</v>
      </c>
      <c r="C128" s="18">
        <v>0</v>
      </c>
      <c r="D128" s="18">
        <v>1</v>
      </c>
      <c r="E128" s="25" t="s">
        <v>354</v>
      </c>
      <c r="F128" s="2">
        <v>150</v>
      </c>
      <c r="K128" t="s">
        <v>18</v>
      </c>
      <c r="N128" s="10">
        <v>0</v>
      </c>
    </row>
    <row r="129" spans="1:15" x14ac:dyDescent="0.35">
      <c r="A129" t="s">
        <v>222</v>
      </c>
      <c r="B129" s="3" t="s">
        <v>80</v>
      </c>
      <c r="C129" s="18">
        <v>0</v>
      </c>
      <c r="D129" s="18">
        <v>1</v>
      </c>
      <c r="E129" s="25" t="s">
        <v>355</v>
      </c>
      <c r="F129" s="2">
        <v>425</v>
      </c>
      <c r="K129" t="s">
        <v>18</v>
      </c>
      <c r="N129" s="10">
        <v>0</v>
      </c>
    </row>
    <row r="130" spans="1:15" x14ac:dyDescent="0.35">
      <c r="B130" s="3" t="s">
        <v>80</v>
      </c>
      <c r="C130" s="18">
        <v>0</v>
      </c>
      <c r="D130" s="18">
        <v>1</v>
      </c>
      <c r="E130" s="25" t="s">
        <v>356</v>
      </c>
      <c r="F130" s="2">
        <v>1200</v>
      </c>
      <c r="K130" t="s">
        <v>18</v>
      </c>
      <c r="N130" s="10">
        <v>0</v>
      </c>
    </row>
    <row r="131" spans="1:15" x14ac:dyDescent="0.35">
      <c r="B131" s="3" t="s">
        <v>80</v>
      </c>
      <c r="C131" s="18">
        <v>0</v>
      </c>
      <c r="D131" s="18">
        <v>1</v>
      </c>
      <c r="E131" s="25" t="s">
        <v>357</v>
      </c>
      <c r="F131" s="2">
        <v>1850</v>
      </c>
      <c r="K131" t="s">
        <v>18</v>
      </c>
      <c r="N131" s="10">
        <v>0</v>
      </c>
    </row>
    <row r="132" spans="1:15" x14ac:dyDescent="0.35">
      <c r="B132" s="3"/>
      <c r="E132" s="25"/>
      <c r="F132" s="2"/>
    </row>
    <row r="133" spans="1:15" x14ac:dyDescent="0.35">
      <c r="A133" s="20">
        <v>12</v>
      </c>
      <c r="B133" s="20" t="s">
        <v>346</v>
      </c>
      <c r="C133" s="21"/>
      <c r="D133" s="21"/>
      <c r="E133" s="20"/>
      <c r="F133" s="20"/>
      <c r="G133" s="20"/>
      <c r="H133" s="20"/>
      <c r="I133" s="20"/>
      <c r="J133" s="20"/>
      <c r="K133" s="20"/>
      <c r="L133" s="20"/>
      <c r="M133" s="20"/>
      <c r="N133" s="22"/>
      <c r="O133" s="20"/>
    </row>
    <row r="134" spans="1:15" x14ac:dyDescent="0.35">
      <c r="A134">
        <f>SUM(D134:D191)</f>
        <v>145</v>
      </c>
      <c r="B134" s="3" t="s">
        <v>80</v>
      </c>
      <c r="C134" s="18">
        <v>0</v>
      </c>
      <c r="D134" s="18">
        <v>1</v>
      </c>
      <c r="E134" s="25" t="s">
        <v>354</v>
      </c>
      <c r="F134" s="2">
        <v>150</v>
      </c>
      <c r="K134" t="s">
        <v>18</v>
      </c>
      <c r="N134" s="10">
        <v>0</v>
      </c>
    </row>
    <row r="135" spans="1:15" x14ac:dyDescent="0.35">
      <c r="A135" t="s">
        <v>222</v>
      </c>
      <c r="B135" s="3" t="s">
        <v>80</v>
      </c>
      <c r="C135" s="18">
        <v>0</v>
      </c>
      <c r="D135" s="18">
        <v>1</v>
      </c>
      <c r="E135" s="25" t="s">
        <v>355</v>
      </c>
      <c r="F135" s="2">
        <v>425</v>
      </c>
      <c r="K135" t="s">
        <v>18</v>
      </c>
      <c r="N135" s="10">
        <v>0</v>
      </c>
    </row>
    <row r="136" spans="1:15" x14ac:dyDescent="0.35">
      <c r="B136" s="3" t="s">
        <v>80</v>
      </c>
      <c r="C136" s="18">
        <v>0</v>
      </c>
      <c r="D136" s="18">
        <v>1</v>
      </c>
      <c r="E136" s="25" t="s">
        <v>356</v>
      </c>
      <c r="F136" s="2">
        <v>1200</v>
      </c>
      <c r="K136" t="s">
        <v>18</v>
      </c>
      <c r="N136" s="10">
        <v>0</v>
      </c>
    </row>
    <row r="137" spans="1:15" x14ac:dyDescent="0.35">
      <c r="B137" s="3" t="s">
        <v>80</v>
      </c>
      <c r="C137" s="18">
        <v>0</v>
      </c>
      <c r="D137" s="18">
        <v>1</v>
      </c>
      <c r="E137" s="25" t="s">
        <v>357</v>
      </c>
      <c r="F137" s="2">
        <v>1850</v>
      </c>
      <c r="K137" t="s">
        <v>18</v>
      </c>
      <c r="N137" s="10">
        <v>0</v>
      </c>
    </row>
    <row r="138" spans="1:15" x14ac:dyDescent="0.35">
      <c r="B138" s="3"/>
      <c r="E138" s="25"/>
      <c r="F138" s="2"/>
    </row>
    <row r="139" spans="1:15" s="1" customFormat="1" x14ac:dyDescent="0.35">
      <c r="C139" s="15"/>
      <c r="D139" s="15"/>
      <c r="N139" s="12"/>
    </row>
    <row r="141" spans="1:15" x14ac:dyDescent="0.35">
      <c r="C141" s="18" t="s">
        <v>213</v>
      </c>
    </row>
    <row r="143" spans="1:15" x14ac:dyDescent="0.35">
      <c r="C143" s="18">
        <f>SUM(C5:C130)</f>
        <v>0</v>
      </c>
      <c r="D143" s="18">
        <f>SUM(D5:D130)</f>
        <v>141</v>
      </c>
    </row>
  </sheetData>
  <conditionalFormatting sqref="N5:N138">
    <cfRule type="iconSet" priority="25">
      <iconSet iconSet="3Symbols" showValue="0">
        <cfvo type="percent" val="0"/>
        <cfvo type="percent" val="33"/>
        <cfvo type="percent" val="67"/>
      </iconSet>
    </cfRule>
  </conditionalFormatting>
  <conditionalFormatting sqref="D4 C4:C138">
    <cfRule type="iconSet" priority="27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0"/>
  <sheetViews>
    <sheetView workbookViewId="0">
      <pane ySplit="3" topLeftCell="A4" activePane="bottomLeft" state="frozen"/>
      <selection pane="bottomLeft" activeCell="A15" sqref="A15"/>
    </sheetView>
  </sheetViews>
  <sheetFormatPr defaultRowHeight="14.5" x14ac:dyDescent="0.35"/>
  <cols>
    <col min="2" max="2" width="28.54296875" bestFit="1" customWidth="1"/>
    <col min="3" max="4" width="7.54296875" style="18" customWidth="1"/>
    <col min="5" max="5" width="22.26953125" bestFit="1" customWidth="1"/>
    <col min="6" max="6" width="7.54296875" bestFit="1" customWidth="1"/>
    <col min="7" max="7" width="8.26953125" bestFit="1" customWidth="1"/>
    <col min="8" max="8" width="36" bestFit="1" customWidth="1"/>
    <col min="9" max="9" width="29.7265625" bestFit="1" customWidth="1"/>
    <col min="10" max="10" width="9" bestFit="1" customWidth="1"/>
    <col min="11" max="11" width="7" bestFit="1" customWidth="1"/>
    <col min="12" max="12" width="31" bestFit="1" customWidth="1"/>
    <col min="13" max="13" width="22.1796875" bestFit="1" customWidth="1"/>
    <col min="14" max="14" width="8.453125" style="10" bestFit="1" customWidth="1"/>
    <col min="15" max="15" width="11" bestFit="1" customWidth="1"/>
  </cols>
  <sheetData>
    <row r="1" spans="1:15" x14ac:dyDescent="0.35">
      <c r="C1" s="13"/>
      <c r="D1" s="13"/>
    </row>
    <row r="2" spans="1:15" ht="15" thickBot="1" x14ac:dyDescent="0.4">
      <c r="C2" s="13"/>
      <c r="D2" s="13"/>
    </row>
    <row r="3" spans="1:15" s="5" customFormat="1" ht="30.75" customHeight="1" thickBot="1" x14ac:dyDescent="0.4">
      <c r="B3" s="5" t="s">
        <v>0</v>
      </c>
      <c r="C3" s="14" t="s">
        <v>210</v>
      </c>
      <c r="D3" s="14" t="s">
        <v>218</v>
      </c>
      <c r="E3" s="5" t="s">
        <v>3</v>
      </c>
      <c r="F3" s="5" t="s">
        <v>5</v>
      </c>
      <c r="G3" s="5" t="s">
        <v>56</v>
      </c>
      <c r="H3" s="5" t="s">
        <v>6</v>
      </c>
      <c r="I3" s="5" t="s">
        <v>41</v>
      </c>
      <c r="J3" s="6" t="s">
        <v>79</v>
      </c>
      <c r="K3" s="5" t="s">
        <v>8</v>
      </c>
      <c r="L3" s="5" t="s">
        <v>9</v>
      </c>
      <c r="M3" s="5" t="s">
        <v>10</v>
      </c>
      <c r="N3" s="11" t="s">
        <v>208</v>
      </c>
      <c r="O3" s="5" t="s">
        <v>43</v>
      </c>
    </row>
    <row r="4" spans="1:15" s="20" customFormat="1" x14ac:dyDescent="0.35">
      <c r="A4" s="20">
        <v>1</v>
      </c>
      <c r="B4" s="20" t="s">
        <v>215</v>
      </c>
      <c r="C4" s="21"/>
      <c r="D4" s="21"/>
      <c r="N4" s="22"/>
    </row>
    <row r="5" spans="1:15" x14ac:dyDescent="0.35">
      <c r="A5">
        <f>SUM(D5:D15)</f>
        <v>14</v>
      </c>
      <c r="B5" s="7" t="s">
        <v>26</v>
      </c>
      <c r="C5" s="16">
        <v>0</v>
      </c>
      <c r="D5" s="16">
        <v>0</v>
      </c>
      <c r="E5" s="9" t="s">
        <v>4</v>
      </c>
      <c r="F5" s="8">
        <v>50</v>
      </c>
      <c r="G5" s="8"/>
      <c r="H5" s="9" t="s">
        <v>7</v>
      </c>
      <c r="I5" s="9" t="s">
        <v>42</v>
      </c>
      <c r="J5" s="9" t="s">
        <v>18</v>
      </c>
      <c r="K5" s="9" t="s">
        <v>13</v>
      </c>
      <c r="L5" s="9"/>
      <c r="M5" s="9"/>
      <c r="N5" s="10">
        <v>0</v>
      </c>
    </row>
    <row r="6" spans="1:15" x14ac:dyDescent="0.35">
      <c r="A6" t="s">
        <v>224</v>
      </c>
      <c r="B6" s="7" t="s">
        <v>26</v>
      </c>
      <c r="C6" s="16">
        <v>0</v>
      </c>
      <c r="D6" s="16">
        <v>0</v>
      </c>
      <c r="E6" s="9" t="s">
        <v>11</v>
      </c>
      <c r="F6" s="8">
        <v>125</v>
      </c>
      <c r="G6" s="8"/>
      <c r="H6" s="9" t="s">
        <v>12</v>
      </c>
      <c r="I6" s="9" t="s">
        <v>42</v>
      </c>
      <c r="J6" s="9" t="s">
        <v>18</v>
      </c>
      <c r="K6" s="9" t="s">
        <v>13</v>
      </c>
      <c r="L6" s="9"/>
      <c r="M6" s="9"/>
      <c r="N6" s="10">
        <v>0</v>
      </c>
    </row>
    <row r="7" spans="1:15" x14ac:dyDescent="0.35">
      <c r="B7" s="7" t="s">
        <v>26</v>
      </c>
      <c r="C7" s="16">
        <v>0</v>
      </c>
      <c r="D7" s="16">
        <v>0</v>
      </c>
      <c r="E7" s="9" t="s">
        <v>14</v>
      </c>
      <c r="F7" s="8">
        <v>200</v>
      </c>
      <c r="G7" s="8"/>
      <c r="H7" s="9" t="s">
        <v>15</v>
      </c>
      <c r="I7" s="9" t="s">
        <v>42</v>
      </c>
      <c r="J7" s="9" t="s">
        <v>18</v>
      </c>
      <c r="K7" s="9" t="s">
        <v>13</v>
      </c>
      <c r="L7" s="9"/>
      <c r="M7" s="9"/>
      <c r="N7" s="10">
        <v>0</v>
      </c>
    </row>
    <row r="8" spans="1:15" x14ac:dyDescent="0.35">
      <c r="B8" s="3" t="s">
        <v>26</v>
      </c>
      <c r="C8" s="17">
        <v>1</v>
      </c>
      <c r="D8" s="17">
        <v>2</v>
      </c>
      <c r="E8" s="23" t="s">
        <v>16</v>
      </c>
      <c r="F8" s="2">
        <v>150</v>
      </c>
      <c r="G8" s="2"/>
      <c r="H8" t="s">
        <v>17</v>
      </c>
      <c r="I8" t="s">
        <v>42</v>
      </c>
      <c r="J8" t="s">
        <v>103</v>
      </c>
      <c r="K8" t="s">
        <v>18</v>
      </c>
      <c r="N8" s="10">
        <v>0</v>
      </c>
    </row>
    <row r="9" spans="1:15" x14ac:dyDescent="0.35">
      <c r="B9" s="3" t="s">
        <v>26</v>
      </c>
      <c r="C9" s="17">
        <v>1</v>
      </c>
      <c r="D9" s="17">
        <v>1</v>
      </c>
      <c r="E9" s="23" t="s">
        <v>19</v>
      </c>
      <c r="F9" s="2">
        <v>1100</v>
      </c>
      <c r="G9" s="2"/>
      <c r="H9" t="s">
        <v>20</v>
      </c>
      <c r="I9" t="s">
        <v>42</v>
      </c>
      <c r="K9" t="s">
        <v>18</v>
      </c>
      <c r="N9" s="10">
        <v>0</v>
      </c>
    </row>
    <row r="10" spans="1:15" x14ac:dyDescent="0.35">
      <c r="B10" s="3" t="s">
        <v>26</v>
      </c>
      <c r="C10" s="17">
        <v>1</v>
      </c>
      <c r="D10" s="17">
        <v>1</v>
      </c>
      <c r="E10" s="23" t="s">
        <v>21</v>
      </c>
      <c r="F10" s="2">
        <v>4800</v>
      </c>
      <c r="G10" s="2"/>
      <c r="H10" t="s">
        <v>22</v>
      </c>
      <c r="I10" t="s">
        <v>42</v>
      </c>
      <c r="K10" t="s">
        <v>18</v>
      </c>
      <c r="L10" t="s">
        <v>204</v>
      </c>
      <c r="N10" s="10">
        <v>1</v>
      </c>
    </row>
    <row r="11" spans="1:15" x14ac:dyDescent="0.35">
      <c r="B11" s="3" t="s">
        <v>26</v>
      </c>
      <c r="C11" s="17">
        <v>1</v>
      </c>
      <c r="D11" s="17">
        <v>1</v>
      </c>
      <c r="E11" s="23" t="s">
        <v>23</v>
      </c>
      <c r="F11" s="2">
        <v>925</v>
      </c>
      <c r="G11" s="2"/>
      <c r="H11" t="s">
        <v>24</v>
      </c>
      <c r="I11" t="s">
        <v>42</v>
      </c>
      <c r="K11" t="s">
        <v>18</v>
      </c>
      <c r="N11" s="10">
        <v>0</v>
      </c>
    </row>
    <row r="12" spans="1:15" x14ac:dyDescent="0.35">
      <c r="B12" s="3" t="s">
        <v>25</v>
      </c>
      <c r="C12" s="17">
        <v>1</v>
      </c>
      <c r="D12" s="17">
        <v>6</v>
      </c>
      <c r="E12" s="23" t="s">
        <v>27</v>
      </c>
      <c r="F12" s="2">
        <v>10</v>
      </c>
      <c r="G12" s="2"/>
      <c r="H12" t="s">
        <v>31</v>
      </c>
      <c r="I12" t="s">
        <v>42</v>
      </c>
      <c r="K12" t="s">
        <v>18</v>
      </c>
      <c r="N12" s="10">
        <v>0</v>
      </c>
    </row>
    <row r="13" spans="1:15" x14ac:dyDescent="0.35">
      <c r="B13" s="3" t="s">
        <v>25</v>
      </c>
      <c r="C13" s="17">
        <v>1</v>
      </c>
      <c r="D13" s="17">
        <v>1</v>
      </c>
      <c r="E13" s="23" t="s">
        <v>28</v>
      </c>
      <c r="F13" s="2">
        <v>250</v>
      </c>
      <c r="G13" s="2"/>
      <c r="H13" t="s">
        <v>31</v>
      </c>
      <c r="I13" t="s">
        <v>42</v>
      </c>
      <c r="K13" t="s">
        <v>18</v>
      </c>
      <c r="N13" s="10">
        <v>0</v>
      </c>
    </row>
    <row r="14" spans="1:15" x14ac:dyDescent="0.35">
      <c r="B14" s="3" t="s">
        <v>25</v>
      </c>
      <c r="C14" s="17">
        <v>1</v>
      </c>
      <c r="D14" s="17">
        <v>1</v>
      </c>
      <c r="E14" s="23" t="s">
        <v>29</v>
      </c>
      <c r="F14" s="2">
        <v>500</v>
      </c>
      <c r="G14" s="2"/>
      <c r="H14" t="s">
        <v>32</v>
      </c>
      <c r="I14" t="s">
        <v>42</v>
      </c>
      <c r="K14" t="s">
        <v>18</v>
      </c>
      <c r="N14" s="10">
        <v>0</v>
      </c>
    </row>
    <row r="15" spans="1:15" x14ac:dyDescent="0.35">
      <c r="B15" s="3" t="s">
        <v>25</v>
      </c>
      <c r="C15" s="17">
        <v>1</v>
      </c>
      <c r="D15" s="17">
        <v>1</v>
      </c>
      <c r="E15" s="23" t="s">
        <v>30</v>
      </c>
      <c r="F15" s="2">
        <v>100</v>
      </c>
      <c r="G15" s="2"/>
      <c r="H15" t="s">
        <v>33</v>
      </c>
      <c r="I15" t="s">
        <v>42</v>
      </c>
      <c r="K15" t="s">
        <v>18</v>
      </c>
      <c r="N15" s="10">
        <v>0</v>
      </c>
    </row>
    <row r="17" spans="1:15" s="20" customFormat="1" x14ac:dyDescent="0.35">
      <c r="A17" s="20">
        <v>2</v>
      </c>
      <c r="B17" s="20" t="s">
        <v>219</v>
      </c>
      <c r="C17" s="21"/>
      <c r="D17" s="21"/>
      <c r="N17" s="22"/>
    </row>
    <row r="18" spans="1:15" x14ac:dyDescent="0.35">
      <c r="A18">
        <f>SUM(D18:D37)</f>
        <v>60</v>
      </c>
      <c r="B18" s="3" t="s">
        <v>34</v>
      </c>
      <c r="C18" s="18">
        <v>1</v>
      </c>
      <c r="D18" s="18">
        <v>4</v>
      </c>
      <c r="E18" s="23" t="s">
        <v>35</v>
      </c>
      <c r="F18" t="s">
        <v>36</v>
      </c>
      <c r="H18" t="s">
        <v>37</v>
      </c>
      <c r="I18" t="s">
        <v>42</v>
      </c>
      <c r="K18" t="s">
        <v>18</v>
      </c>
      <c r="N18" s="10">
        <v>0</v>
      </c>
      <c r="O18" t="s">
        <v>44</v>
      </c>
    </row>
    <row r="19" spans="1:15" x14ac:dyDescent="0.35">
      <c r="A19" s="24" t="s">
        <v>226</v>
      </c>
      <c r="B19" s="3" t="s">
        <v>38</v>
      </c>
      <c r="C19" s="18">
        <v>1</v>
      </c>
      <c r="D19" s="18">
        <v>2</v>
      </c>
      <c r="E19" s="23" t="s">
        <v>39</v>
      </c>
      <c r="F19" s="2">
        <v>600</v>
      </c>
      <c r="G19" s="2"/>
      <c r="H19" t="s">
        <v>45</v>
      </c>
      <c r="I19" t="s">
        <v>65</v>
      </c>
      <c r="K19" t="s">
        <v>18</v>
      </c>
      <c r="N19" s="10">
        <v>0</v>
      </c>
    </row>
    <row r="20" spans="1:15" x14ac:dyDescent="0.35">
      <c r="B20" s="3" t="s">
        <v>38</v>
      </c>
      <c r="C20" s="18">
        <v>1</v>
      </c>
      <c r="D20" s="18">
        <v>2</v>
      </c>
      <c r="E20" s="23" t="s">
        <v>40</v>
      </c>
      <c r="F20" s="2">
        <v>600</v>
      </c>
      <c r="G20" s="2"/>
      <c r="H20" t="s">
        <v>45</v>
      </c>
      <c r="I20" t="s">
        <v>65</v>
      </c>
      <c r="K20" t="s">
        <v>18</v>
      </c>
      <c r="N20" s="10">
        <v>0</v>
      </c>
    </row>
    <row r="21" spans="1:15" x14ac:dyDescent="0.35">
      <c r="B21" s="3" t="s">
        <v>38</v>
      </c>
      <c r="C21" s="18">
        <v>1</v>
      </c>
      <c r="D21" s="18">
        <v>2</v>
      </c>
      <c r="E21" s="23" t="s">
        <v>46</v>
      </c>
      <c r="F21" s="2">
        <v>600</v>
      </c>
      <c r="G21" s="2"/>
      <c r="H21" t="s">
        <v>45</v>
      </c>
      <c r="I21" t="s">
        <v>65</v>
      </c>
      <c r="K21" t="s">
        <v>18</v>
      </c>
      <c r="N21" s="10">
        <v>0</v>
      </c>
    </row>
    <row r="22" spans="1:15" x14ac:dyDescent="0.35">
      <c r="B22" s="3" t="s">
        <v>38</v>
      </c>
      <c r="C22" s="18">
        <v>1</v>
      </c>
      <c r="D22" s="18">
        <v>2</v>
      </c>
      <c r="E22" s="23" t="s">
        <v>47</v>
      </c>
      <c r="F22" s="2">
        <v>800</v>
      </c>
      <c r="G22" s="2"/>
      <c r="H22" t="s">
        <v>45</v>
      </c>
      <c r="I22" t="s">
        <v>65</v>
      </c>
      <c r="K22" t="s">
        <v>18</v>
      </c>
      <c r="N22" s="10">
        <v>0</v>
      </c>
    </row>
    <row r="23" spans="1:15" x14ac:dyDescent="0.35">
      <c r="B23" s="3" t="s">
        <v>38</v>
      </c>
      <c r="C23" s="18">
        <v>1</v>
      </c>
      <c r="D23" s="18">
        <v>2</v>
      </c>
      <c r="E23" s="23" t="s">
        <v>48</v>
      </c>
      <c r="F23" s="2">
        <v>1200</v>
      </c>
      <c r="G23" s="2"/>
      <c r="H23" t="s">
        <v>45</v>
      </c>
      <c r="I23" t="s">
        <v>65</v>
      </c>
      <c r="K23" t="s">
        <v>18</v>
      </c>
      <c r="N23" s="10">
        <v>0</v>
      </c>
    </row>
    <row r="24" spans="1:15" x14ac:dyDescent="0.35">
      <c r="B24" s="3" t="s">
        <v>38</v>
      </c>
      <c r="C24" s="18">
        <v>1</v>
      </c>
      <c r="D24" s="18">
        <v>1</v>
      </c>
      <c r="E24" s="23" t="s">
        <v>49</v>
      </c>
      <c r="F24" s="2">
        <v>3200</v>
      </c>
      <c r="G24" s="2"/>
      <c r="H24" t="s">
        <v>50</v>
      </c>
      <c r="I24" t="s">
        <v>51</v>
      </c>
      <c r="K24" t="s">
        <v>18</v>
      </c>
      <c r="L24" t="s">
        <v>52</v>
      </c>
      <c r="N24" s="10">
        <v>1</v>
      </c>
    </row>
    <row r="25" spans="1:15" x14ac:dyDescent="0.35">
      <c r="B25" s="3" t="s">
        <v>53</v>
      </c>
      <c r="C25" s="18">
        <v>1</v>
      </c>
      <c r="D25" s="18">
        <v>5</v>
      </c>
      <c r="E25" s="23" t="s">
        <v>54</v>
      </c>
      <c r="F25" s="2">
        <v>600</v>
      </c>
      <c r="G25" s="2"/>
      <c r="H25" t="s">
        <v>58</v>
      </c>
      <c r="I25" t="s">
        <v>42</v>
      </c>
      <c r="K25" t="s">
        <v>18</v>
      </c>
      <c r="L25" t="s">
        <v>206</v>
      </c>
      <c r="N25" s="10">
        <v>1</v>
      </c>
    </row>
    <row r="26" spans="1:15" x14ac:dyDescent="0.35">
      <c r="B26" s="3" t="s">
        <v>53</v>
      </c>
      <c r="C26" s="18">
        <v>1</v>
      </c>
      <c r="D26" s="18">
        <v>6</v>
      </c>
      <c r="E26" s="23" t="s">
        <v>55</v>
      </c>
      <c r="F26" s="2">
        <v>200</v>
      </c>
      <c r="G26" s="4">
        <v>1</v>
      </c>
      <c r="H26" t="s">
        <v>59</v>
      </c>
      <c r="I26" t="s">
        <v>42</v>
      </c>
      <c r="K26" t="s">
        <v>18</v>
      </c>
      <c r="L26" t="s">
        <v>203</v>
      </c>
      <c r="N26" s="10">
        <v>1</v>
      </c>
    </row>
    <row r="27" spans="1:15" x14ac:dyDescent="0.35">
      <c r="B27" s="3" t="s">
        <v>53</v>
      </c>
      <c r="C27" s="18">
        <v>1</v>
      </c>
      <c r="D27" s="18">
        <v>4</v>
      </c>
      <c r="E27" s="23" t="s">
        <v>57</v>
      </c>
      <c r="F27" s="2">
        <v>450</v>
      </c>
      <c r="G27">
        <v>3</v>
      </c>
      <c r="H27" t="s">
        <v>60</v>
      </c>
      <c r="I27" t="s">
        <v>42</v>
      </c>
      <c r="K27" t="s">
        <v>18</v>
      </c>
      <c r="N27" s="10">
        <v>0</v>
      </c>
    </row>
    <row r="28" spans="1:15" x14ac:dyDescent="0.35">
      <c r="B28" s="3" t="s">
        <v>53</v>
      </c>
      <c r="C28" s="18">
        <v>1</v>
      </c>
      <c r="D28" s="18">
        <v>2</v>
      </c>
      <c r="E28" s="23" t="s">
        <v>61</v>
      </c>
      <c r="F28" s="2">
        <v>3800</v>
      </c>
      <c r="G28">
        <v>12</v>
      </c>
      <c r="H28" t="s">
        <v>63</v>
      </c>
      <c r="I28" t="s">
        <v>42</v>
      </c>
      <c r="K28" t="s">
        <v>18</v>
      </c>
      <c r="N28" s="10">
        <v>0</v>
      </c>
    </row>
    <row r="29" spans="1:15" x14ac:dyDescent="0.35">
      <c r="B29" s="3" t="s">
        <v>53</v>
      </c>
      <c r="C29" s="18">
        <v>1</v>
      </c>
      <c r="D29" s="18">
        <v>1</v>
      </c>
      <c r="E29" s="23" t="s">
        <v>62</v>
      </c>
      <c r="F29" s="2">
        <v>4800</v>
      </c>
      <c r="G29">
        <v>24</v>
      </c>
      <c r="H29" t="s">
        <v>64</v>
      </c>
      <c r="I29" t="s">
        <v>42</v>
      </c>
      <c r="K29" t="s">
        <v>77</v>
      </c>
      <c r="N29" s="10">
        <v>0</v>
      </c>
    </row>
    <row r="30" spans="1:15" x14ac:dyDescent="0.35">
      <c r="B30" s="3" t="s">
        <v>78</v>
      </c>
      <c r="C30" s="18">
        <v>1</v>
      </c>
      <c r="D30" s="18">
        <v>6</v>
      </c>
      <c r="E30" s="23" t="s">
        <v>66</v>
      </c>
      <c r="F30" s="2">
        <v>700</v>
      </c>
      <c r="G30">
        <v>3</v>
      </c>
      <c r="H30" t="s">
        <v>74</v>
      </c>
      <c r="I30" t="s">
        <v>42</v>
      </c>
      <c r="K30" t="s">
        <v>18</v>
      </c>
      <c r="N30" s="10">
        <v>0</v>
      </c>
    </row>
    <row r="31" spans="1:15" x14ac:dyDescent="0.35">
      <c r="B31" s="3" t="s">
        <v>78</v>
      </c>
      <c r="C31" s="18">
        <v>1</v>
      </c>
      <c r="D31" s="18">
        <v>10</v>
      </c>
      <c r="E31" s="23" t="s">
        <v>67</v>
      </c>
      <c r="F31" s="2">
        <v>1200</v>
      </c>
      <c r="G31">
        <v>8</v>
      </c>
      <c r="H31" t="s">
        <v>74</v>
      </c>
      <c r="I31" t="s">
        <v>42</v>
      </c>
      <c r="K31" t="s">
        <v>18</v>
      </c>
      <c r="N31" s="10">
        <v>0</v>
      </c>
    </row>
    <row r="32" spans="1:15" x14ac:dyDescent="0.35">
      <c r="B32" s="3" t="s">
        <v>78</v>
      </c>
      <c r="C32" s="18">
        <v>1</v>
      </c>
      <c r="D32" s="18">
        <v>2</v>
      </c>
      <c r="E32" s="23" t="s">
        <v>68</v>
      </c>
      <c r="F32" s="2">
        <v>225</v>
      </c>
      <c r="G32">
        <v>6</v>
      </c>
      <c r="H32" t="s">
        <v>74</v>
      </c>
      <c r="I32" t="s">
        <v>42</v>
      </c>
      <c r="K32" t="s">
        <v>18</v>
      </c>
      <c r="N32" s="10">
        <v>0</v>
      </c>
    </row>
    <row r="33" spans="1:14" x14ac:dyDescent="0.35">
      <c r="B33" s="3" t="s">
        <v>78</v>
      </c>
      <c r="C33" s="18">
        <v>1</v>
      </c>
      <c r="D33" s="18">
        <v>4</v>
      </c>
      <c r="E33" s="23" t="s">
        <v>69</v>
      </c>
      <c r="F33" s="2">
        <v>2200</v>
      </c>
      <c r="G33">
        <v>15</v>
      </c>
      <c r="H33" t="s">
        <v>75</v>
      </c>
      <c r="I33" t="s">
        <v>42</v>
      </c>
      <c r="K33" t="s">
        <v>18</v>
      </c>
      <c r="N33" s="10">
        <v>0</v>
      </c>
    </row>
    <row r="34" spans="1:14" x14ac:dyDescent="0.35">
      <c r="B34" s="3" t="s">
        <v>78</v>
      </c>
      <c r="C34" s="18">
        <v>1</v>
      </c>
      <c r="D34" s="18">
        <v>2</v>
      </c>
      <c r="E34" s="23" t="s">
        <v>70</v>
      </c>
      <c r="F34" s="2">
        <v>800</v>
      </c>
      <c r="G34">
        <v>4</v>
      </c>
      <c r="H34" t="s">
        <v>74</v>
      </c>
      <c r="I34" t="s">
        <v>42</v>
      </c>
      <c r="K34" t="s">
        <v>77</v>
      </c>
      <c r="N34" s="10">
        <v>1</v>
      </c>
    </row>
    <row r="35" spans="1:14" x14ac:dyDescent="0.35">
      <c r="B35" s="3" t="s">
        <v>78</v>
      </c>
      <c r="C35" s="18">
        <v>1</v>
      </c>
      <c r="D35" s="18">
        <v>1</v>
      </c>
      <c r="E35" s="23" t="s">
        <v>71</v>
      </c>
      <c r="F35" s="2">
        <v>600</v>
      </c>
      <c r="G35">
        <v>10</v>
      </c>
      <c r="H35" t="s">
        <v>76</v>
      </c>
      <c r="I35" t="s">
        <v>42</v>
      </c>
      <c r="K35" t="s">
        <v>18</v>
      </c>
      <c r="N35" s="10">
        <v>0</v>
      </c>
    </row>
    <row r="36" spans="1:14" x14ac:dyDescent="0.35">
      <c r="B36" s="3" t="s">
        <v>78</v>
      </c>
      <c r="C36" s="18">
        <v>1</v>
      </c>
      <c r="D36" s="18">
        <v>1</v>
      </c>
      <c r="E36" s="23" t="s">
        <v>72</v>
      </c>
      <c r="F36" s="2">
        <v>600</v>
      </c>
      <c r="G36">
        <v>10</v>
      </c>
      <c r="H36" t="s">
        <v>76</v>
      </c>
      <c r="I36" t="s">
        <v>42</v>
      </c>
      <c r="K36" t="s">
        <v>18</v>
      </c>
      <c r="N36" s="10">
        <v>0</v>
      </c>
    </row>
    <row r="37" spans="1:14" x14ac:dyDescent="0.35">
      <c r="B37" s="3" t="s">
        <v>78</v>
      </c>
      <c r="C37" s="18">
        <v>1</v>
      </c>
      <c r="D37" s="18">
        <v>1</v>
      </c>
      <c r="E37" s="23" t="s">
        <v>73</v>
      </c>
      <c r="F37" s="2">
        <v>1800</v>
      </c>
      <c r="G37">
        <v>20</v>
      </c>
      <c r="H37" t="s">
        <v>76</v>
      </c>
      <c r="I37" t="s">
        <v>42</v>
      </c>
      <c r="K37" t="s">
        <v>18</v>
      </c>
      <c r="N37" s="10">
        <v>0</v>
      </c>
    </row>
    <row r="39" spans="1:14" s="20" customFormat="1" x14ac:dyDescent="0.35">
      <c r="A39" s="20">
        <v>3</v>
      </c>
      <c r="B39" s="20" t="s">
        <v>212</v>
      </c>
      <c r="C39" s="21"/>
      <c r="D39" s="21"/>
      <c r="N39" s="22"/>
    </row>
    <row r="40" spans="1:14" s="9" customFormat="1" x14ac:dyDescent="0.35">
      <c r="A40">
        <f>SUM(D40:D48)</f>
        <v>13</v>
      </c>
      <c r="B40" s="7" t="s">
        <v>80</v>
      </c>
      <c r="C40" s="16">
        <v>0</v>
      </c>
      <c r="D40" s="16">
        <v>0</v>
      </c>
      <c r="E40" s="9" t="s">
        <v>81</v>
      </c>
      <c r="F40" s="8">
        <v>50</v>
      </c>
      <c r="H40" s="9" t="s">
        <v>84</v>
      </c>
      <c r="J40" s="9" t="s">
        <v>18</v>
      </c>
      <c r="K40" s="9" t="s">
        <v>18</v>
      </c>
      <c r="N40" s="19">
        <v>0</v>
      </c>
    </row>
    <row r="41" spans="1:14" x14ac:dyDescent="0.35">
      <c r="A41" t="s">
        <v>221</v>
      </c>
      <c r="B41" s="3" t="s">
        <v>80</v>
      </c>
      <c r="C41" s="18">
        <v>1</v>
      </c>
      <c r="D41" s="18">
        <v>1</v>
      </c>
      <c r="E41" s="23" t="s">
        <v>82</v>
      </c>
      <c r="F41" s="2">
        <v>300</v>
      </c>
      <c r="H41" t="s">
        <v>58</v>
      </c>
      <c r="K41" t="s">
        <v>18</v>
      </c>
      <c r="N41" s="10">
        <v>0</v>
      </c>
    </row>
    <row r="42" spans="1:14" x14ac:dyDescent="0.35">
      <c r="B42" s="3" t="s">
        <v>80</v>
      </c>
      <c r="C42" s="18">
        <v>1</v>
      </c>
      <c r="D42" s="18">
        <v>2</v>
      </c>
      <c r="E42" s="23" t="s">
        <v>220</v>
      </c>
      <c r="F42" s="2">
        <v>850</v>
      </c>
      <c r="H42" t="s">
        <v>85</v>
      </c>
      <c r="K42" t="s">
        <v>77</v>
      </c>
      <c r="N42" s="10">
        <v>1</v>
      </c>
    </row>
    <row r="43" spans="1:14" x14ac:dyDescent="0.35">
      <c r="B43" s="3" t="s">
        <v>80</v>
      </c>
      <c r="C43" s="18">
        <v>1</v>
      </c>
      <c r="D43" s="18">
        <v>2</v>
      </c>
      <c r="E43" t="s">
        <v>83</v>
      </c>
      <c r="F43" s="2">
        <v>1000</v>
      </c>
      <c r="H43" t="s">
        <v>85</v>
      </c>
      <c r="K43" t="s">
        <v>77</v>
      </c>
      <c r="L43" t="s">
        <v>209</v>
      </c>
      <c r="N43" s="10">
        <v>1</v>
      </c>
    </row>
    <row r="44" spans="1:14" x14ac:dyDescent="0.35">
      <c r="B44" s="3" t="s">
        <v>80</v>
      </c>
      <c r="C44" s="18">
        <v>1</v>
      </c>
      <c r="D44" s="18">
        <v>1</v>
      </c>
      <c r="E44" t="s">
        <v>86</v>
      </c>
      <c r="F44" s="2">
        <v>200</v>
      </c>
      <c r="H44" t="s">
        <v>113</v>
      </c>
      <c r="I44" t="s">
        <v>91</v>
      </c>
      <c r="K44" t="s">
        <v>18</v>
      </c>
      <c r="N44" s="10">
        <v>0</v>
      </c>
    </row>
    <row r="45" spans="1:14" x14ac:dyDescent="0.35">
      <c r="B45" s="3" t="s">
        <v>80</v>
      </c>
      <c r="C45" s="18">
        <v>1</v>
      </c>
      <c r="D45" s="18">
        <v>4</v>
      </c>
      <c r="E45" s="23" t="s">
        <v>87</v>
      </c>
      <c r="F45" s="2">
        <v>0</v>
      </c>
      <c r="G45">
        <v>1</v>
      </c>
      <c r="H45" t="s">
        <v>114</v>
      </c>
      <c r="I45" t="s">
        <v>91</v>
      </c>
      <c r="K45" t="s">
        <v>18</v>
      </c>
      <c r="N45" s="10">
        <v>0</v>
      </c>
    </row>
    <row r="46" spans="1:14" x14ac:dyDescent="0.35">
      <c r="B46" s="3" t="s">
        <v>80</v>
      </c>
      <c r="C46" s="18">
        <v>1</v>
      </c>
      <c r="D46" s="18">
        <v>1</v>
      </c>
      <c r="E46" s="23" t="s">
        <v>88</v>
      </c>
      <c r="F46" s="2">
        <v>1200</v>
      </c>
      <c r="H46" t="s">
        <v>24</v>
      </c>
      <c r="I46" t="s">
        <v>91</v>
      </c>
      <c r="K46" t="s">
        <v>18</v>
      </c>
      <c r="N46" s="10">
        <v>0</v>
      </c>
    </row>
    <row r="47" spans="1:14" x14ac:dyDescent="0.35">
      <c r="B47" s="3" t="s">
        <v>80</v>
      </c>
      <c r="C47" s="18">
        <v>1</v>
      </c>
      <c r="D47" s="18">
        <v>1</v>
      </c>
      <c r="E47" s="23" t="s">
        <v>89</v>
      </c>
      <c r="F47" s="2">
        <v>3200</v>
      </c>
      <c r="G47">
        <v>8</v>
      </c>
      <c r="H47" t="s">
        <v>115</v>
      </c>
      <c r="I47" t="s">
        <v>91</v>
      </c>
      <c r="K47" t="s">
        <v>18</v>
      </c>
      <c r="N47" s="10">
        <v>0</v>
      </c>
    </row>
    <row r="48" spans="1:14" x14ac:dyDescent="0.35">
      <c r="B48" s="3" t="s">
        <v>80</v>
      </c>
      <c r="C48" s="18">
        <v>1</v>
      </c>
      <c r="D48" s="18">
        <v>1</v>
      </c>
      <c r="E48" t="s">
        <v>90</v>
      </c>
      <c r="F48" s="2">
        <v>2450</v>
      </c>
      <c r="H48" t="s">
        <v>116</v>
      </c>
      <c r="I48" t="s">
        <v>91</v>
      </c>
      <c r="K48" t="s">
        <v>18</v>
      </c>
      <c r="N48" s="10">
        <v>0</v>
      </c>
    </row>
    <row r="50" spans="1:14" s="20" customFormat="1" x14ac:dyDescent="0.35">
      <c r="A50" s="20">
        <v>4</v>
      </c>
      <c r="B50" s="20" t="s">
        <v>217</v>
      </c>
      <c r="C50" s="21"/>
      <c r="D50" s="21"/>
      <c r="N50" s="22"/>
    </row>
    <row r="51" spans="1:14" x14ac:dyDescent="0.35">
      <c r="A51">
        <f>SUM(D51:D63)</f>
        <v>14</v>
      </c>
      <c r="B51" s="3" t="s">
        <v>93</v>
      </c>
      <c r="C51" s="18">
        <v>0</v>
      </c>
      <c r="D51" s="18">
        <v>0</v>
      </c>
      <c r="E51" s="3" t="s">
        <v>92</v>
      </c>
      <c r="F51" t="s">
        <v>94</v>
      </c>
      <c r="H51" t="s">
        <v>95</v>
      </c>
      <c r="J51" t="s">
        <v>18</v>
      </c>
      <c r="K51" t="s">
        <v>18</v>
      </c>
      <c r="N51" s="10">
        <v>0</v>
      </c>
    </row>
    <row r="52" spans="1:14" x14ac:dyDescent="0.35">
      <c r="A52" t="s">
        <v>223</v>
      </c>
      <c r="B52" s="3" t="s">
        <v>34</v>
      </c>
      <c r="C52" s="18">
        <v>0</v>
      </c>
      <c r="D52" s="18">
        <v>0</v>
      </c>
      <c r="E52" s="3" t="s">
        <v>96</v>
      </c>
      <c r="F52" t="s">
        <v>94</v>
      </c>
      <c r="H52" t="s">
        <v>97</v>
      </c>
      <c r="J52" t="s">
        <v>18</v>
      </c>
      <c r="K52" t="s">
        <v>18</v>
      </c>
      <c r="N52" s="10">
        <v>0</v>
      </c>
    </row>
    <row r="53" spans="1:14" s="9" customFormat="1" x14ac:dyDescent="0.35">
      <c r="B53" s="7" t="s">
        <v>100</v>
      </c>
      <c r="C53" s="16">
        <v>0</v>
      </c>
      <c r="D53" s="16">
        <v>0</v>
      </c>
      <c r="E53" s="7" t="s">
        <v>98</v>
      </c>
      <c r="F53" s="9" t="s">
        <v>94</v>
      </c>
      <c r="J53" s="9" t="s">
        <v>18</v>
      </c>
      <c r="K53" s="9" t="s">
        <v>18</v>
      </c>
      <c r="L53" s="9" t="s">
        <v>99</v>
      </c>
      <c r="N53" s="19">
        <v>0</v>
      </c>
    </row>
    <row r="54" spans="1:14" x14ac:dyDescent="0.35">
      <c r="B54" s="3" t="s">
        <v>80</v>
      </c>
      <c r="C54" s="18">
        <v>1</v>
      </c>
      <c r="D54" s="18">
        <v>4</v>
      </c>
      <c r="E54" s="25" t="s">
        <v>101</v>
      </c>
      <c r="F54" s="2">
        <v>900</v>
      </c>
      <c r="H54" t="s">
        <v>20</v>
      </c>
      <c r="K54" t="s">
        <v>13</v>
      </c>
      <c r="L54" t="s">
        <v>200</v>
      </c>
      <c r="N54" s="10">
        <v>1</v>
      </c>
    </row>
    <row r="55" spans="1:14" x14ac:dyDescent="0.35">
      <c r="B55" s="3" t="s">
        <v>80</v>
      </c>
      <c r="C55" s="18">
        <v>1</v>
      </c>
      <c r="D55" s="18">
        <v>2</v>
      </c>
      <c r="E55" s="25" t="s">
        <v>102</v>
      </c>
      <c r="F55" s="2">
        <v>200</v>
      </c>
      <c r="H55" t="s">
        <v>117</v>
      </c>
      <c r="K55" t="s">
        <v>18</v>
      </c>
      <c r="N55" s="10">
        <v>0</v>
      </c>
    </row>
    <row r="56" spans="1:14" x14ac:dyDescent="0.35">
      <c r="B56" s="3" t="s">
        <v>80</v>
      </c>
      <c r="C56" s="18">
        <v>1</v>
      </c>
      <c r="D56" s="18">
        <v>2</v>
      </c>
      <c r="E56" s="25" t="s">
        <v>104</v>
      </c>
      <c r="F56" s="2">
        <v>1800</v>
      </c>
      <c r="H56" t="s">
        <v>118</v>
      </c>
      <c r="K56" t="s">
        <v>211</v>
      </c>
      <c r="L56" t="s">
        <v>200</v>
      </c>
      <c r="N56" s="10">
        <v>1</v>
      </c>
    </row>
    <row r="57" spans="1:14" x14ac:dyDescent="0.35">
      <c r="B57" s="3" t="s">
        <v>80</v>
      </c>
      <c r="C57" s="18">
        <v>1</v>
      </c>
      <c r="D57" s="18">
        <v>1</v>
      </c>
      <c r="E57" s="25" t="s">
        <v>105</v>
      </c>
      <c r="F57" s="2">
        <v>1650</v>
      </c>
      <c r="H57" t="s">
        <v>119</v>
      </c>
      <c r="K57" t="s">
        <v>18</v>
      </c>
      <c r="N57" s="10">
        <v>0</v>
      </c>
    </row>
    <row r="58" spans="1:14" x14ac:dyDescent="0.35">
      <c r="B58" s="3" t="s">
        <v>80</v>
      </c>
      <c r="C58" s="18">
        <v>1</v>
      </c>
      <c r="D58" s="18">
        <v>1</v>
      </c>
      <c r="E58" s="25" t="s">
        <v>106</v>
      </c>
      <c r="F58" s="2">
        <v>2100</v>
      </c>
      <c r="H58" t="s">
        <v>120</v>
      </c>
      <c r="K58" t="s">
        <v>18</v>
      </c>
      <c r="N58" s="10">
        <v>0</v>
      </c>
    </row>
    <row r="59" spans="1:14" s="9" customFormat="1" x14ac:dyDescent="0.35">
      <c r="B59" s="7" t="s">
        <v>80</v>
      </c>
      <c r="C59" s="16">
        <v>0</v>
      </c>
      <c r="D59" s="16">
        <v>0</v>
      </c>
      <c r="E59" s="7" t="s">
        <v>107</v>
      </c>
      <c r="F59" s="8">
        <v>200</v>
      </c>
      <c r="H59" s="9" t="s">
        <v>121</v>
      </c>
      <c r="J59" s="9" t="s">
        <v>18</v>
      </c>
      <c r="K59" s="9" t="s">
        <v>18</v>
      </c>
      <c r="N59" s="19">
        <v>0</v>
      </c>
    </row>
    <row r="60" spans="1:14" x14ac:dyDescent="0.35">
      <c r="B60" s="3" t="s">
        <v>80</v>
      </c>
      <c r="C60" s="18">
        <v>1</v>
      </c>
      <c r="D60" s="18">
        <v>1</v>
      </c>
      <c r="E60" s="25" t="s">
        <v>108</v>
      </c>
      <c r="F60" s="2">
        <v>400</v>
      </c>
      <c r="H60" t="s">
        <v>118</v>
      </c>
      <c r="K60" t="s">
        <v>211</v>
      </c>
      <c r="L60" t="s">
        <v>200</v>
      </c>
      <c r="N60" s="10">
        <v>1</v>
      </c>
    </row>
    <row r="61" spans="1:14" x14ac:dyDescent="0.35">
      <c r="B61" s="3" t="s">
        <v>80</v>
      </c>
      <c r="C61" s="18">
        <v>1</v>
      </c>
      <c r="D61" s="18">
        <v>1</v>
      </c>
      <c r="E61" s="25" t="s">
        <v>109</v>
      </c>
      <c r="F61" s="2">
        <v>750</v>
      </c>
      <c r="H61" t="s">
        <v>122</v>
      </c>
      <c r="I61" t="s">
        <v>110</v>
      </c>
      <c r="K61" t="s">
        <v>13</v>
      </c>
      <c r="L61" t="s">
        <v>202</v>
      </c>
      <c r="N61" s="10">
        <v>1</v>
      </c>
    </row>
    <row r="62" spans="1:14" x14ac:dyDescent="0.35">
      <c r="B62" s="3" t="s">
        <v>80</v>
      </c>
      <c r="C62" s="18">
        <v>1</v>
      </c>
      <c r="D62" s="18">
        <v>1</v>
      </c>
      <c r="E62" s="25" t="s">
        <v>111</v>
      </c>
      <c r="F62" s="2">
        <v>1200</v>
      </c>
      <c r="H62" t="s">
        <v>123</v>
      </c>
      <c r="I62" t="s">
        <v>110</v>
      </c>
      <c r="K62" t="s">
        <v>18</v>
      </c>
      <c r="N62" s="10">
        <v>0</v>
      </c>
    </row>
    <row r="63" spans="1:14" x14ac:dyDescent="0.35">
      <c r="B63" s="3" t="s">
        <v>80</v>
      </c>
      <c r="C63" s="18">
        <v>1</v>
      </c>
      <c r="D63" s="18">
        <v>1</v>
      </c>
      <c r="E63" s="25" t="s">
        <v>112</v>
      </c>
      <c r="F63" s="2">
        <v>5650</v>
      </c>
      <c r="H63" t="s">
        <v>20</v>
      </c>
      <c r="K63" t="s">
        <v>18</v>
      </c>
      <c r="N63" s="10">
        <v>0</v>
      </c>
    </row>
    <row r="65" spans="1:14" s="20" customFormat="1" x14ac:dyDescent="0.35">
      <c r="A65" s="20">
        <v>5</v>
      </c>
      <c r="B65" s="20" t="s">
        <v>214</v>
      </c>
      <c r="C65" s="21"/>
      <c r="D65" s="21"/>
      <c r="N65" s="22"/>
    </row>
    <row r="66" spans="1:14" x14ac:dyDescent="0.35">
      <c r="A66">
        <f>SUM(D66:D78)</f>
        <v>18</v>
      </c>
      <c r="B66" s="3" t="s">
        <v>124</v>
      </c>
      <c r="C66" s="18">
        <v>1</v>
      </c>
      <c r="D66" s="18">
        <v>1</v>
      </c>
      <c r="E66" s="25" t="s">
        <v>125</v>
      </c>
      <c r="F66" s="2">
        <v>200</v>
      </c>
      <c r="H66" t="s">
        <v>129</v>
      </c>
      <c r="K66" t="s">
        <v>18</v>
      </c>
      <c r="N66" s="10">
        <v>0</v>
      </c>
    </row>
    <row r="67" spans="1:14" x14ac:dyDescent="0.35">
      <c r="A67" t="s">
        <v>225</v>
      </c>
      <c r="B67" s="3" t="s">
        <v>124</v>
      </c>
      <c r="C67" s="18">
        <v>1</v>
      </c>
      <c r="D67" s="18">
        <v>1</v>
      </c>
      <c r="E67" s="25" t="s">
        <v>126</v>
      </c>
      <c r="F67" s="2">
        <v>150</v>
      </c>
      <c r="H67" t="s">
        <v>129</v>
      </c>
      <c r="K67" t="s">
        <v>18</v>
      </c>
      <c r="N67" s="10">
        <v>0</v>
      </c>
    </row>
    <row r="68" spans="1:14" x14ac:dyDescent="0.35">
      <c r="B68" s="3" t="s">
        <v>124</v>
      </c>
      <c r="C68" s="18">
        <v>1</v>
      </c>
      <c r="D68" s="18">
        <v>1</v>
      </c>
      <c r="E68" s="25" t="s">
        <v>127</v>
      </c>
      <c r="F68" s="2">
        <v>100</v>
      </c>
      <c r="H68" t="s">
        <v>130</v>
      </c>
      <c r="K68" t="s">
        <v>18</v>
      </c>
      <c r="N68" s="10">
        <v>0</v>
      </c>
    </row>
    <row r="69" spans="1:14" x14ac:dyDescent="0.35">
      <c r="B69" s="3" t="s">
        <v>124</v>
      </c>
      <c r="C69" s="18">
        <v>1</v>
      </c>
      <c r="D69" s="18">
        <v>1</v>
      </c>
      <c r="E69" s="25" t="s">
        <v>128</v>
      </c>
      <c r="F69" s="2">
        <v>250</v>
      </c>
      <c r="H69" t="s">
        <v>129</v>
      </c>
      <c r="K69" t="s">
        <v>18</v>
      </c>
      <c r="N69" s="10">
        <v>0</v>
      </c>
    </row>
    <row r="70" spans="1:14" x14ac:dyDescent="0.35">
      <c r="B70" s="3" t="s">
        <v>80</v>
      </c>
      <c r="C70" s="18">
        <v>1</v>
      </c>
      <c r="D70" s="18">
        <v>4</v>
      </c>
      <c r="E70" s="25" t="s">
        <v>131</v>
      </c>
      <c r="F70" s="2">
        <v>250</v>
      </c>
      <c r="H70" t="s">
        <v>132</v>
      </c>
      <c r="K70" t="s">
        <v>18</v>
      </c>
      <c r="N70" s="10">
        <v>0</v>
      </c>
    </row>
    <row r="71" spans="1:14" s="9" customFormat="1" x14ac:dyDescent="0.35">
      <c r="B71" s="7" t="s">
        <v>80</v>
      </c>
      <c r="C71" s="16">
        <v>1</v>
      </c>
      <c r="D71" s="16">
        <v>2</v>
      </c>
      <c r="E71" s="25" t="s">
        <v>133</v>
      </c>
      <c r="F71" s="8">
        <v>500</v>
      </c>
      <c r="H71" s="9" t="s">
        <v>134</v>
      </c>
      <c r="I71" s="9" t="s">
        <v>135</v>
      </c>
      <c r="J71" s="9" t="s">
        <v>18</v>
      </c>
      <c r="K71" s="9" t="s">
        <v>18</v>
      </c>
      <c r="N71" s="19">
        <v>0</v>
      </c>
    </row>
    <row r="72" spans="1:14" x14ac:dyDescent="0.35">
      <c r="B72" s="3" t="s">
        <v>136</v>
      </c>
      <c r="C72" s="18">
        <v>1</v>
      </c>
      <c r="D72" s="18">
        <v>1</v>
      </c>
      <c r="E72" s="25" t="s">
        <v>137</v>
      </c>
      <c r="F72" s="2">
        <v>600</v>
      </c>
      <c r="H72" t="s">
        <v>138</v>
      </c>
      <c r="I72" t="s">
        <v>144</v>
      </c>
      <c r="K72" t="s">
        <v>18</v>
      </c>
      <c r="N72" s="10">
        <v>0</v>
      </c>
    </row>
    <row r="73" spans="1:14" x14ac:dyDescent="0.35">
      <c r="B73" s="3" t="s">
        <v>136</v>
      </c>
      <c r="C73" s="18">
        <v>1</v>
      </c>
      <c r="D73" s="18">
        <v>1</v>
      </c>
      <c r="E73" s="25" t="s">
        <v>139</v>
      </c>
      <c r="F73" s="2">
        <v>800</v>
      </c>
      <c r="H73" t="s">
        <v>140</v>
      </c>
      <c r="I73" t="s">
        <v>144</v>
      </c>
      <c r="K73" t="s">
        <v>18</v>
      </c>
      <c r="L73" t="s">
        <v>202</v>
      </c>
      <c r="N73" s="10">
        <v>1</v>
      </c>
    </row>
    <row r="74" spans="1:14" x14ac:dyDescent="0.35">
      <c r="B74" s="3" t="s">
        <v>136</v>
      </c>
      <c r="C74" s="18">
        <v>1</v>
      </c>
      <c r="D74" s="18">
        <v>1</v>
      </c>
      <c r="E74" s="25" t="s">
        <v>141</v>
      </c>
      <c r="F74" s="2">
        <v>5600</v>
      </c>
      <c r="H74" t="s">
        <v>140</v>
      </c>
      <c r="I74" t="s">
        <v>144</v>
      </c>
      <c r="K74" t="s">
        <v>151</v>
      </c>
      <c r="N74" s="10">
        <v>1</v>
      </c>
    </row>
    <row r="75" spans="1:14" x14ac:dyDescent="0.35">
      <c r="B75" s="3" t="s">
        <v>136</v>
      </c>
      <c r="C75" s="18">
        <v>1</v>
      </c>
      <c r="D75" s="18">
        <v>1</v>
      </c>
      <c r="E75" s="25" t="s">
        <v>142</v>
      </c>
      <c r="F75" s="2">
        <v>2350</v>
      </c>
      <c r="H75" t="s">
        <v>143</v>
      </c>
      <c r="I75" t="s">
        <v>144</v>
      </c>
      <c r="K75" t="s">
        <v>13</v>
      </c>
      <c r="L75" t="s">
        <v>201</v>
      </c>
      <c r="N75" s="10">
        <v>1</v>
      </c>
    </row>
    <row r="76" spans="1:14" x14ac:dyDescent="0.35">
      <c r="B76" s="3" t="s">
        <v>136</v>
      </c>
      <c r="C76" s="18">
        <v>1</v>
      </c>
      <c r="D76" s="18">
        <v>2</v>
      </c>
      <c r="E76" s="25" t="s">
        <v>145</v>
      </c>
      <c r="F76" s="2">
        <v>400</v>
      </c>
      <c r="H76" t="s">
        <v>146</v>
      </c>
      <c r="I76" t="s">
        <v>144</v>
      </c>
      <c r="K76" t="s">
        <v>18</v>
      </c>
      <c r="N76" s="10">
        <v>0</v>
      </c>
    </row>
    <row r="77" spans="1:14" x14ac:dyDescent="0.35">
      <c r="B77" s="3" t="s">
        <v>136</v>
      </c>
      <c r="C77" s="18">
        <v>1</v>
      </c>
      <c r="D77" s="18">
        <v>1</v>
      </c>
      <c r="E77" s="25" t="s">
        <v>147</v>
      </c>
      <c r="F77" s="2">
        <v>1400</v>
      </c>
      <c r="H77" t="s">
        <v>148</v>
      </c>
      <c r="I77" t="s">
        <v>144</v>
      </c>
      <c r="K77" t="s">
        <v>18</v>
      </c>
      <c r="N77" s="10">
        <v>0</v>
      </c>
    </row>
    <row r="78" spans="1:14" x14ac:dyDescent="0.35">
      <c r="B78" s="3" t="s">
        <v>136</v>
      </c>
      <c r="C78" s="18">
        <v>1</v>
      </c>
      <c r="D78" s="18">
        <v>1</v>
      </c>
      <c r="E78" s="25" t="s">
        <v>149</v>
      </c>
      <c r="F78" s="2">
        <v>3200</v>
      </c>
      <c r="H78" t="s">
        <v>150</v>
      </c>
      <c r="I78" t="s">
        <v>144</v>
      </c>
      <c r="K78" t="s">
        <v>18</v>
      </c>
      <c r="N78" s="10">
        <v>0</v>
      </c>
    </row>
    <row r="80" spans="1:14" s="20" customFormat="1" x14ac:dyDescent="0.35">
      <c r="A80" s="20">
        <v>6</v>
      </c>
      <c r="B80" s="20" t="s">
        <v>216</v>
      </c>
      <c r="C80" s="21"/>
      <c r="D80" s="21"/>
      <c r="N80" s="22"/>
    </row>
    <row r="81" spans="1:14" x14ac:dyDescent="0.35">
      <c r="A81">
        <f>SUM(D81:D112)</f>
        <v>62</v>
      </c>
      <c r="B81" s="7" t="s">
        <v>152</v>
      </c>
      <c r="C81" s="16">
        <v>0</v>
      </c>
      <c r="D81" s="16">
        <v>0</v>
      </c>
      <c r="E81" s="7" t="s">
        <v>81</v>
      </c>
      <c r="F81" s="8">
        <v>50</v>
      </c>
      <c r="G81" s="9"/>
      <c r="H81" s="9" t="s">
        <v>153</v>
      </c>
      <c r="I81" s="9"/>
      <c r="J81" s="9"/>
      <c r="K81" s="9" t="s">
        <v>18</v>
      </c>
      <c r="L81" s="9"/>
      <c r="M81" s="9"/>
      <c r="N81" s="10">
        <v>0</v>
      </c>
    </row>
    <row r="82" spans="1:14" x14ac:dyDescent="0.35">
      <c r="A82" t="s">
        <v>222</v>
      </c>
      <c r="B82" s="7" t="s">
        <v>152</v>
      </c>
      <c r="C82" s="16">
        <v>0</v>
      </c>
      <c r="D82" s="16">
        <v>0</v>
      </c>
      <c r="E82" s="7" t="s">
        <v>4</v>
      </c>
      <c r="F82" s="8">
        <v>50</v>
      </c>
      <c r="G82" s="9"/>
      <c r="H82" s="9" t="s">
        <v>7</v>
      </c>
      <c r="I82" s="9"/>
      <c r="J82" s="9">
        <v>0</v>
      </c>
      <c r="K82" s="9" t="s">
        <v>18</v>
      </c>
      <c r="L82" s="9"/>
      <c r="M82" s="9"/>
      <c r="N82" s="10">
        <v>0</v>
      </c>
    </row>
    <row r="83" spans="1:14" x14ac:dyDescent="0.35">
      <c r="B83" s="7" t="s">
        <v>152</v>
      </c>
      <c r="C83" s="16">
        <v>0</v>
      </c>
      <c r="D83" s="16">
        <v>0</v>
      </c>
      <c r="E83" s="7" t="s">
        <v>14</v>
      </c>
      <c r="F83" s="8">
        <v>200</v>
      </c>
      <c r="G83" s="9"/>
      <c r="H83" s="9" t="s">
        <v>15</v>
      </c>
      <c r="I83" s="9"/>
      <c r="J83" s="9">
        <v>0</v>
      </c>
      <c r="K83" s="9" t="s">
        <v>18</v>
      </c>
      <c r="L83" s="9"/>
      <c r="M83" s="9"/>
      <c r="N83" s="10">
        <v>0</v>
      </c>
    </row>
    <row r="84" spans="1:14" x14ac:dyDescent="0.35">
      <c r="B84" s="7" t="s">
        <v>152</v>
      </c>
      <c r="C84" s="16">
        <v>0</v>
      </c>
      <c r="D84" s="16">
        <v>0</v>
      </c>
      <c r="E84" s="7" t="s">
        <v>107</v>
      </c>
      <c r="F84" s="8">
        <v>200</v>
      </c>
      <c r="G84" s="9"/>
      <c r="H84" s="9" t="s">
        <v>154</v>
      </c>
      <c r="I84" s="9"/>
      <c r="J84" s="9">
        <v>0</v>
      </c>
      <c r="K84" s="9" t="s">
        <v>18</v>
      </c>
      <c r="L84" s="9"/>
      <c r="M84" s="9"/>
      <c r="N84" s="10">
        <v>0</v>
      </c>
    </row>
    <row r="85" spans="1:14" x14ac:dyDescent="0.35">
      <c r="B85" s="3" t="s">
        <v>155</v>
      </c>
      <c r="C85" s="18">
        <v>1</v>
      </c>
      <c r="D85" s="18">
        <v>2</v>
      </c>
      <c r="E85" s="25" t="s">
        <v>156</v>
      </c>
      <c r="F85" s="2">
        <v>50</v>
      </c>
      <c r="H85" t="s">
        <v>160</v>
      </c>
      <c r="K85" t="s">
        <v>18</v>
      </c>
      <c r="N85" s="10">
        <v>0</v>
      </c>
    </row>
    <row r="86" spans="1:14" x14ac:dyDescent="0.35">
      <c r="B86" s="3" t="s">
        <v>155</v>
      </c>
      <c r="C86" s="18">
        <v>1</v>
      </c>
      <c r="D86" s="18">
        <v>2</v>
      </c>
      <c r="E86" s="25" t="s">
        <v>157</v>
      </c>
      <c r="F86" s="2">
        <v>50</v>
      </c>
      <c r="H86" t="s">
        <v>160</v>
      </c>
      <c r="K86" t="s">
        <v>18</v>
      </c>
      <c r="N86" s="10">
        <v>0</v>
      </c>
    </row>
    <row r="87" spans="1:14" x14ac:dyDescent="0.35">
      <c r="B87" s="3" t="s">
        <v>155</v>
      </c>
      <c r="C87" s="18">
        <v>1</v>
      </c>
      <c r="D87" s="18">
        <v>2</v>
      </c>
      <c r="E87" s="25" t="s">
        <v>158</v>
      </c>
      <c r="F87" s="2">
        <v>50</v>
      </c>
      <c r="H87" t="s">
        <v>160</v>
      </c>
      <c r="K87" t="s">
        <v>18</v>
      </c>
      <c r="N87" s="10">
        <v>0</v>
      </c>
    </row>
    <row r="88" spans="1:14" x14ac:dyDescent="0.35">
      <c r="B88" s="3" t="s">
        <v>155</v>
      </c>
      <c r="C88" s="18">
        <v>1</v>
      </c>
      <c r="D88" s="18">
        <v>2</v>
      </c>
      <c r="E88" s="25" t="s">
        <v>159</v>
      </c>
      <c r="F88" s="2">
        <v>50</v>
      </c>
      <c r="H88" t="s">
        <v>160</v>
      </c>
      <c r="K88" t="s">
        <v>18</v>
      </c>
      <c r="N88" s="10">
        <v>0</v>
      </c>
    </row>
    <row r="89" spans="1:14" x14ac:dyDescent="0.35">
      <c r="B89" s="3" t="s">
        <v>155</v>
      </c>
      <c r="C89" s="18">
        <v>1</v>
      </c>
      <c r="D89" s="18">
        <v>1</v>
      </c>
      <c r="E89" s="25" t="s">
        <v>161</v>
      </c>
      <c r="F89" s="2">
        <v>1200</v>
      </c>
      <c r="H89" t="s">
        <v>162</v>
      </c>
      <c r="K89" t="s">
        <v>211</v>
      </c>
      <c r="L89" t="s">
        <v>200</v>
      </c>
      <c r="N89" s="10">
        <v>1</v>
      </c>
    </row>
    <row r="90" spans="1:14" x14ac:dyDescent="0.35">
      <c r="B90" s="3" t="s">
        <v>155</v>
      </c>
      <c r="C90" s="18">
        <v>1</v>
      </c>
      <c r="D90" s="18">
        <v>2</v>
      </c>
      <c r="E90" s="25" t="s">
        <v>163</v>
      </c>
      <c r="F90" s="2">
        <v>2800</v>
      </c>
      <c r="H90" t="s">
        <v>162</v>
      </c>
      <c r="K90" t="s">
        <v>18</v>
      </c>
      <c r="N90" s="10">
        <v>0</v>
      </c>
    </row>
    <row r="91" spans="1:14" x14ac:dyDescent="0.35">
      <c r="B91" s="3" t="s">
        <v>155</v>
      </c>
      <c r="C91" s="18">
        <v>1</v>
      </c>
      <c r="D91" s="18">
        <v>1</v>
      </c>
      <c r="E91" s="25" t="s">
        <v>164</v>
      </c>
      <c r="F91" s="2">
        <v>1500</v>
      </c>
      <c r="H91" t="s">
        <v>165</v>
      </c>
      <c r="K91" t="s">
        <v>211</v>
      </c>
      <c r="L91" t="s">
        <v>200</v>
      </c>
      <c r="N91" s="10">
        <v>1</v>
      </c>
    </row>
    <row r="92" spans="1:14" x14ac:dyDescent="0.35">
      <c r="B92" s="3" t="s">
        <v>155</v>
      </c>
      <c r="C92" s="18">
        <v>1</v>
      </c>
      <c r="D92" s="18">
        <v>2</v>
      </c>
      <c r="E92" s="25" t="s">
        <v>166</v>
      </c>
      <c r="F92" s="2">
        <v>250</v>
      </c>
      <c r="H92" t="s">
        <v>168</v>
      </c>
      <c r="K92" t="s">
        <v>18</v>
      </c>
      <c r="N92" s="10">
        <v>0</v>
      </c>
    </row>
    <row r="93" spans="1:14" x14ac:dyDescent="0.35">
      <c r="B93" s="3" t="s">
        <v>155</v>
      </c>
      <c r="C93" s="18">
        <v>1</v>
      </c>
      <c r="D93" s="18">
        <v>1</v>
      </c>
      <c r="E93" s="25" t="s">
        <v>167</v>
      </c>
      <c r="F93" s="2">
        <v>500</v>
      </c>
      <c r="H93" t="s">
        <v>170</v>
      </c>
      <c r="K93" t="s">
        <v>211</v>
      </c>
      <c r="L93" t="s">
        <v>200</v>
      </c>
      <c r="N93" s="10">
        <v>1</v>
      </c>
    </row>
    <row r="94" spans="1:14" x14ac:dyDescent="0.35">
      <c r="B94" s="3" t="s">
        <v>155</v>
      </c>
      <c r="C94" s="18">
        <v>1</v>
      </c>
      <c r="D94" s="18">
        <v>2</v>
      </c>
      <c r="E94" s="25" t="s">
        <v>169</v>
      </c>
      <c r="F94" s="2">
        <v>1050</v>
      </c>
      <c r="H94" t="s">
        <v>170</v>
      </c>
      <c r="K94" t="s">
        <v>18</v>
      </c>
      <c r="N94" s="10">
        <v>0</v>
      </c>
    </row>
    <row r="95" spans="1:14" x14ac:dyDescent="0.35">
      <c r="B95" s="3" t="s">
        <v>155</v>
      </c>
      <c r="C95" s="18">
        <v>1</v>
      </c>
      <c r="D95" s="18">
        <v>4</v>
      </c>
      <c r="E95" s="25" t="s">
        <v>171</v>
      </c>
      <c r="F95" s="2">
        <v>2450</v>
      </c>
      <c r="H95" t="s">
        <v>170</v>
      </c>
      <c r="K95" t="s">
        <v>18</v>
      </c>
      <c r="N95" s="10">
        <v>0</v>
      </c>
    </row>
    <row r="96" spans="1:14" x14ac:dyDescent="0.35">
      <c r="B96" s="3" t="s">
        <v>155</v>
      </c>
      <c r="C96" s="18">
        <v>1</v>
      </c>
      <c r="D96" s="18">
        <v>3</v>
      </c>
      <c r="E96" s="25" t="s">
        <v>172</v>
      </c>
      <c r="F96" s="2">
        <v>800</v>
      </c>
      <c r="H96" t="s">
        <v>168</v>
      </c>
      <c r="I96" t="s">
        <v>191</v>
      </c>
      <c r="K96" t="s">
        <v>211</v>
      </c>
      <c r="L96" t="s">
        <v>207</v>
      </c>
      <c r="N96" s="10">
        <v>1</v>
      </c>
    </row>
    <row r="97" spans="2:14" x14ac:dyDescent="0.35">
      <c r="B97" s="3" t="s">
        <v>173</v>
      </c>
      <c r="C97" s="18">
        <v>1</v>
      </c>
      <c r="D97" s="18">
        <v>2</v>
      </c>
      <c r="E97" s="25" t="s">
        <v>175</v>
      </c>
      <c r="F97" s="2">
        <v>350</v>
      </c>
      <c r="H97" t="s">
        <v>116</v>
      </c>
      <c r="K97" t="s">
        <v>18</v>
      </c>
      <c r="N97" s="10">
        <v>0</v>
      </c>
    </row>
    <row r="98" spans="2:14" x14ac:dyDescent="0.35">
      <c r="B98" s="3" t="s">
        <v>173</v>
      </c>
      <c r="C98" s="18">
        <v>1</v>
      </c>
      <c r="D98" s="18">
        <v>2</v>
      </c>
      <c r="E98" s="25" t="s">
        <v>176</v>
      </c>
      <c r="F98" s="2">
        <v>525</v>
      </c>
      <c r="H98" t="s">
        <v>116</v>
      </c>
      <c r="K98" t="s">
        <v>18</v>
      </c>
      <c r="N98" s="10">
        <v>0</v>
      </c>
    </row>
    <row r="99" spans="2:14" x14ac:dyDescent="0.35">
      <c r="B99" s="3" t="s">
        <v>173</v>
      </c>
      <c r="C99" s="18">
        <v>1</v>
      </c>
      <c r="D99" s="18">
        <v>2</v>
      </c>
      <c r="E99" s="25" t="s">
        <v>177</v>
      </c>
      <c r="F99" s="2">
        <v>600</v>
      </c>
      <c r="H99" t="s">
        <v>116</v>
      </c>
      <c r="K99" t="s">
        <v>18</v>
      </c>
      <c r="N99" s="10">
        <v>0</v>
      </c>
    </row>
    <row r="100" spans="2:14" x14ac:dyDescent="0.35">
      <c r="B100" s="3" t="s">
        <v>173</v>
      </c>
      <c r="C100" s="18">
        <v>1</v>
      </c>
      <c r="D100" s="18">
        <v>3</v>
      </c>
      <c r="E100" s="25" t="s">
        <v>178</v>
      </c>
      <c r="F100" s="2">
        <v>1650</v>
      </c>
      <c r="H100" t="s">
        <v>116</v>
      </c>
      <c r="K100" t="s">
        <v>18</v>
      </c>
      <c r="N100" s="10">
        <v>0</v>
      </c>
    </row>
    <row r="101" spans="2:14" x14ac:dyDescent="0.35">
      <c r="B101" s="3" t="s">
        <v>173</v>
      </c>
      <c r="C101" s="18">
        <v>1</v>
      </c>
      <c r="D101" s="18">
        <v>2</v>
      </c>
      <c r="E101" s="25" t="s">
        <v>179</v>
      </c>
      <c r="F101" s="2">
        <v>2500</v>
      </c>
      <c r="H101" t="s">
        <v>116</v>
      </c>
      <c r="K101" t="s">
        <v>18</v>
      </c>
      <c r="N101" s="10">
        <v>0</v>
      </c>
    </row>
    <row r="102" spans="2:14" x14ac:dyDescent="0.35">
      <c r="B102" s="3" t="s">
        <v>173</v>
      </c>
      <c r="C102" s="18">
        <v>1</v>
      </c>
      <c r="D102" s="18">
        <v>1</v>
      </c>
      <c r="E102" s="25" t="s">
        <v>180</v>
      </c>
      <c r="F102" s="2">
        <v>3800</v>
      </c>
      <c r="H102" t="s">
        <v>116</v>
      </c>
      <c r="I102" t="s">
        <v>197</v>
      </c>
      <c r="K102" t="s">
        <v>18</v>
      </c>
      <c r="N102" s="10">
        <v>0</v>
      </c>
    </row>
    <row r="103" spans="2:14" x14ac:dyDescent="0.35">
      <c r="B103" s="3" t="s">
        <v>173</v>
      </c>
      <c r="C103" s="18">
        <v>1</v>
      </c>
      <c r="D103" s="18">
        <v>2</v>
      </c>
      <c r="E103" s="3" t="s">
        <v>181</v>
      </c>
      <c r="F103" s="2">
        <v>6400</v>
      </c>
      <c r="H103" t="s">
        <v>116</v>
      </c>
      <c r="K103" t="s">
        <v>18</v>
      </c>
      <c r="N103" s="10">
        <v>0</v>
      </c>
    </row>
    <row r="104" spans="2:14" x14ac:dyDescent="0.35">
      <c r="B104" s="3" t="s">
        <v>173</v>
      </c>
      <c r="C104" s="18">
        <v>1</v>
      </c>
      <c r="D104" s="18">
        <v>2</v>
      </c>
      <c r="E104" s="25" t="s">
        <v>182</v>
      </c>
      <c r="F104" s="2">
        <v>7000</v>
      </c>
      <c r="H104" t="s">
        <v>116</v>
      </c>
      <c r="K104" t="s">
        <v>18</v>
      </c>
      <c r="N104" s="10">
        <v>0</v>
      </c>
    </row>
    <row r="105" spans="2:14" x14ac:dyDescent="0.35">
      <c r="B105" s="3" t="s">
        <v>173</v>
      </c>
      <c r="C105" s="18">
        <v>1</v>
      </c>
      <c r="D105" s="18">
        <v>1</v>
      </c>
      <c r="E105" s="25" t="s">
        <v>183</v>
      </c>
      <c r="F105" s="2">
        <v>14500</v>
      </c>
      <c r="H105" t="s">
        <v>116</v>
      </c>
      <c r="K105" t="s">
        <v>18</v>
      </c>
      <c r="N105" s="10">
        <v>0</v>
      </c>
    </row>
    <row r="106" spans="2:14" x14ac:dyDescent="0.35">
      <c r="B106" s="3" t="s">
        <v>174</v>
      </c>
      <c r="C106" s="18">
        <v>1</v>
      </c>
      <c r="D106" s="18">
        <v>3</v>
      </c>
      <c r="E106" s="25" t="s">
        <v>184</v>
      </c>
      <c r="F106" s="2">
        <v>50</v>
      </c>
      <c r="H106" t="s">
        <v>192</v>
      </c>
      <c r="K106" t="s">
        <v>18</v>
      </c>
      <c r="N106" s="10">
        <v>0</v>
      </c>
    </row>
    <row r="107" spans="2:14" x14ac:dyDescent="0.35">
      <c r="B107" s="3" t="s">
        <v>174</v>
      </c>
      <c r="C107" s="18">
        <v>1</v>
      </c>
      <c r="D107" s="18">
        <v>4</v>
      </c>
      <c r="E107" s="25" t="s">
        <v>185</v>
      </c>
      <c r="F107" s="2">
        <v>1200</v>
      </c>
      <c r="H107" t="s">
        <v>193</v>
      </c>
      <c r="K107" t="s">
        <v>18</v>
      </c>
      <c r="N107" s="10">
        <v>0</v>
      </c>
    </row>
    <row r="108" spans="2:14" x14ac:dyDescent="0.35">
      <c r="B108" s="3" t="s">
        <v>174</v>
      </c>
      <c r="C108" s="18">
        <v>1</v>
      </c>
      <c r="D108" s="18">
        <v>1</v>
      </c>
      <c r="E108" s="25" t="s">
        <v>186</v>
      </c>
      <c r="F108" s="2">
        <v>500</v>
      </c>
      <c r="H108" t="s">
        <v>194</v>
      </c>
      <c r="I108" t="s">
        <v>198</v>
      </c>
      <c r="K108" t="s">
        <v>18</v>
      </c>
      <c r="N108" s="10">
        <v>0</v>
      </c>
    </row>
    <row r="109" spans="2:14" x14ac:dyDescent="0.35">
      <c r="B109" s="3" t="s">
        <v>174</v>
      </c>
      <c r="C109" s="18">
        <v>1</v>
      </c>
      <c r="D109" s="18">
        <v>3</v>
      </c>
      <c r="E109" s="25" t="s">
        <v>187</v>
      </c>
      <c r="F109" s="2">
        <v>400</v>
      </c>
      <c r="H109" t="s">
        <v>195</v>
      </c>
      <c r="K109" t="s">
        <v>18</v>
      </c>
      <c r="N109" s="10">
        <v>0</v>
      </c>
    </row>
    <row r="110" spans="2:14" x14ac:dyDescent="0.35">
      <c r="B110" s="3" t="s">
        <v>174</v>
      </c>
      <c r="C110" s="18">
        <v>1</v>
      </c>
      <c r="D110" s="18">
        <v>2</v>
      </c>
      <c r="E110" s="25" t="s">
        <v>188</v>
      </c>
      <c r="F110" s="2">
        <v>1500</v>
      </c>
      <c r="H110" t="s">
        <v>195</v>
      </c>
      <c r="K110" t="s">
        <v>18</v>
      </c>
      <c r="N110" s="10">
        <v>0</v>
      </c>
    </row>
    <row r="111" spans="2:14" x14ac:dyDescent="0.35">
      <c r="B111" s="3" t="s">
        <v>174</v>
      </c>
      <c r="C111" s="18">
        <v>1</v>
      </c>
      <c r="D111" s="18">
        <v>3</v>
      </c>
      <c r="E111" s="25" t="s">
        <v>189</v>
      </c>
      <c r="F111" s="2">
        <v>1800</v>
      </c>
      <c r="H111" t="s">
        <v>195</v>
      </c>
      <c r="K111" t="s">
        <v>18</v>
      </c>
      <c r="N111" s="10">
        <v>0</v>
      </c>
    </row>
    <row r="112" spans="2:14" x14ac:dyDescent="0.35">
      <c r="B112" s="3" t="s">
        <v>174</v>
      </c>
      <c r="C112" s="18">
        <v>1</v>
      </c>
      <c r="D112" s="18">
        <v>5</v>
      </c>
      <c r="E112" s="25" t="s">
        <v>190</v>
      </c>
      <c r="F112" s="2">
        <v>950</v>
      </c>
      <c r="H112" t="s">
        <v>196</v>
      </c>
      <c r="I112" t="s">
        <v>199</v>
      </c>
      <c r="K112" t="s">
        <v>211</v>
      </c>
      <c r="L112" t="s">
        <v>205</v>
      </c>
      <c r="N112" s="10">
        <v>1</v>
      </c>
    </row>
    <row r="114" spans="2:14" s="1" customFormat="1" x14ac:dyDescent="0.35">
      <c r="B114" s="1" t="s">
        <v>1</v>
      </c>
      <c r="C114" s="15"/>
      <c r="D114" s="15"/>
      <c r="N114" s="12"/>
    </row>
    <row r="116" spans="2:14" s="1" customFormat="1" x14ac:dyDescent="0.35">
      <c r="B116" s="1" t="s">
        <v>2</v>
      </c>
      <c r="C116" s="15"/>
      <c r="D116" s="15"/>
      <c r="N116" s="12"/>
    </row>
    <row r="118" spans="2:14" x14ac:dyDescent="0.35">
      <c r="C118" s="18" t="s">
        <v>213</v>
      </c>
    </row>
    <row r="120" spans="2:14" x14ac:dyDescent="0.35">
      <c r="C120" s="18">
        <f>SUM(C5:C112)</f>
        <v>86</v>
      </c>
      <c r="D120" s="18">
        <f>SUM(D5:D112)</f>
        <v>181</v>
      </c>
    </row>
  </sheetData>
  <conditionalFormatting sqref="N5:N112">
    <cfRule type="iconSet" priority="2">
      <iconSet iconSet="3Symbols" showValue="0">
        <cfvo type="percent" val="0"/>
        <cfvo type="percent" val="33"/>
        <cfvo type="percent" val="67"/>
      </iconSet>
    </cfRule>
  </conditionalFormatting>
  <conditionalFormatting sqref="C4:C112 D4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SETS</vt:lpstr>
      <vt:lpstr>FRONTIER TOWN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2019-02-25T11:15:39Z</dcterms:modified>
</cp:coreProperties>
</file>