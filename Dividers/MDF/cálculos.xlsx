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rove\my-git\shadows-of-brimstone\Dividers\MDF\"/>
    </mc:Choice>
  </mc:AlternateContent>
  <xr:revisionPtr revIDLastSave="0" documentId="13_ncr:1_{8B2E4D4C-762B-4E2F-ABCA-F3481A5BBE20}" xr6:coauthVersionLast="47" xr6:coauthVersionMax="47" xr10:uidLastSave="{00000000-0000-0000-0000-000000000000}"/>
  <bookViews>
    <workbookView xWindow="-120" yWindow="-120" windowWidth="29040" windowHeight="15840" xr2:uid="{6B7DC1D0-6F55-4415-BE0E-8069B52DBF5A}"/>
  </bookViews>
  <sheets>
    <sheet name="Planilha1" sheetId="1" r:id="rId1"/>
    <sheet name="Planilha2" sheetId="2" r:id="rId2"/>
  </sheets>
  <definedNames>
    <definedName name="MARGIN">Planilha1!$B$8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6" i="1" l="1"/>
  <c r="K5" i="1"/>
  <c r="L5" i="1"/>
  <c r="F7" i="1"/>
  <c r="F6" i="1"/>
  <c r="F1" i="1"/>
  <c r="F2" i="1" s="1"/>
  <c r="D7" i="1"/>
  <c r="D6" i="1"/>
  <c r="D1" i="1"/>
</calcChain>
</file>

<file path=xl/sharedStrings.xml><?xml version="1.0" encoding="utf-8"?>
<sst xmlns="http://schemas.openxmlformats.org/spreadsheetml/2006/main" count="17" uniqueCount="10">
  <si>
    <t>Carta</t>
  </si>
  <si>
    <t>in</t>
  </si>
  <si>
    <t>cm</t>
  </si>
  <si>
    <t>Margin</t>
  </si>
  <si>
    <t>mm</t>
  </si>
  <si>
    <t>mm/side</t>
  </si>
  <si>
    <t>Angle</t>
  </si>
  <si>
    <t>degrees</t>
  </si>
  <si>
    <t>Cards</t>
  </si>
  <si>
    <t xml:space="preserve">               x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</si>
</sst>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Planilha1!$K$4:$K$6</c:f>
              <c:numCache>
                <c:formatCode>General</c:formatCode>
                <c:ptCount val="3"/>
                <c:pt idx="0">
                  <c:v>0</c:v>
                </c:pt>
                <c:pt idx="1">
                  <c:v>46.45000000000001</c:v>
                </c:pt>
                <c:pt idx="2">
                  <c:v>46.45000000000001</c:v>
                </c:pt>
              </c:numCache>
            </c:numRef>
          </c:xVal>
          <c:yVal>
            <c:numRef>
              <c:f>Planilha1!$L$4:$L$6</c:f>
              <c:numCache>
                <c:formatCode>0.0</c:formatCode>
                <c:ptCount val="3"/>
                <c:pt idx="0" formatCode="General">
                  <c:v>0</c:v>
                </c:pt>
                <c:pt idx="1">
                  <c:v>80.453760011574346</c:v>
                </c:pt>
                <c:pt idx="2" formatCode="General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8FC-42B8-9058-BDDF232625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2545920"/>
        <c:axId val="1322546400"/>
      </c:scatterChart>
      <c:valAx>
        <c:axId val="1322545920"/>
        <c:scaling>
          <c:orientation val="minMax"/>
          <c:max val="9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22546400"/>
        <c:crosses val="autoZero"/>
        <c:crossBetween val="midCat"/>
        <c:majorUnit val="10"/>
        <c:minorUnit val="1"/>
      </c:valAx>
      <c:valAx>
        <c:axId val="1322546400"/>
        <c:scaling>
          <c:orientation val="minMax"/>
          <c:max val="9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22545920"/>
        <c:crosses val="autoZero"/>
        <c:crossBetween val="midCat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333375</xdr:colOff>
      <xdr:row>3</xdr:row>
      <xdr:rowOff>76200</xdr:rowOff>
    </xdr:from>
    <xdr:to>
      <xdr:col>17</xdr:col>
      <xdr:colOff>209550</xdr:colOff>
      <xdr:row>17</xdr:row>
      <xdr:rowOff>152400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8A576B2C-A711-BB2A-C619-D21DD71A4C9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0A5246-EBEA-4E74-96B5-55E02D7F87CB}">
  <dimension ref="A1:L8"/>
  <sheetViews>
    <sheetView tabSelected="1" workbookViewId="0">
      <selection activeCell="H21" sqref="H21"/>
    </sheetView>
  </sheetViews>
  <sheetFormatPr defaultRowHeight="15" x14ac:dyDescent="0.25"/>
  <cols>
    <col min="5" max="5" width="10" customWidth="1"/>
  </cols>
  <sheetData>
    <row r="1" spans="1:12" x14ac:dyDescent="0.25">
      <c r="A1" t="s">
        <v>0</v>
      </c>
      <c r="B1">
        <v>3.5</v>
      </c>
      <c r="C1" t="s">
        <v>1</v>
      </c>
      <c r="D1">
        <f>B1*2.54</f>
        <v>8.89</v>
      </c>
      <c r="E1" t="s">
        <v>2</v>
      </c>
      <c r="F1">
        <f>D1*10+MARGIN*2</f>
        <v>92.9</v>
      </c>
      <c r="G1" t="s">
        <v>4</v>
      </c>
    </row>
    <row r="2" spans="1:12" x14ac:dyDescent="0.25">
      <c r="F2">
        <f>F1+B8*2</f>
        <v>96.9</v>
      </c>
      <c r="G2" t="s">
        <v>4</v>
      </c>
    </row>
    <row r="3" spans="1:12" x14ac:dyDescent="0.25">
      <c r="A3" t="s">
        <v>6</v>
      </c>
      <c r="B3">
        <v>60</v>
      </c>
      <c r="C3" t="s">
        <v>7</v>
      </c>
    </row>
    <row r="4" spans="1:12" x14ac:dyDescent="0.25">
      <c r="K4">
        <v>0</v>
      </c>
      <c r="L4">
        <v>0</v>
      </c>
    </row>
    <row r="5" spans="1:12" x14ac:dyDescent="0.25">
      <c r="K5">
        <f>F6*COS(PI()*B3/180)</f>
        <v>46.45000000000001</v>
      </c>
      <c r="L5" s="1">
        <f>F6*SIN(PI()*B3/180)</f>
        <v>80.453760011574346</v>
      </c>
    </row>
    <row r="6" spans="1:12" x14ac:dyDescent="0.25">
      <c r="A6" t="s">
        <v>8</v>
      </c>
      <c r="B6">
        <v>3.5</v>
      </c>
      <c r="C6" t="s">
        <v>1</v>
      </c>
      <c r="D6">
        <f>B6*2.54</f>
        <v>8.89</v>
      </c>
      <c r="E6" t="s">
        <v>2</v>
      </c>
      <c r="F6">
        <f>D6*10+MARGIN*2</f>
        <v>92.9</v>
      </c>
      <c r="G6" t="s">
        <v>4</v>
      </c>
      <c r="K6">
        <f>K5</f>
        <v>46.45000000000001</v>
      </c>
      <c r="L6">
        <v>0</v>
      </c>
    </row>
    <row r="7" spans="1:12" x14ac:dyDescent="0.25">
      <c r="A7" t="s">
        <v>9</v>
      </c>
      <c r="B7">
        <v>2.5</v>
      </c>
      <c r="C7" t="s">
        <v>1</v>
      </c>
      <c r="D7">
        <f>B7*2.54</f>
        <v>6.35</v>
      </c>
      <c r="E7" t="s">
        <v>2</v>
      </c>
      <c r="F7">
        <f>D7*10+MARGIN*2</f>
        <v>67.5</v>
      </c>
      <c r="G7" t="s">
        <v>4</v>
      </c>
    </row>
    <row r="8" spans="1:12" x14ac:dyDescent="0.25">
      <c r="A8" t="s">
        <v>3</v>
      </c>
      <c r="B8">
        <v>2</v>
      </c>
      <c r="C8" t="s">
        <v>5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713E29-E1C7-443F-B275-B13CB9635411}">
  <dimension ref="A1"/>
  <sheetViews>
    <sheetView workbookViewId="0">
      <selection sqref="A1:XFD1048576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docMetadata/LabelInfo.xml><?xml version="1.0" encoding="utf-8"?>
<clbl:labelList xmlns:clbl="http://schemas.microsoft.com/office/2020/mipLabelMetadata">
  <clbl:label id="{95aee72d-2f82-48e1-9078-193c2d8a0bda}" enabled="1" method="Standard" siteId="{7e2324c6-6925-427e-b56d-4e6eda16752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1</vt:i4>
      </vt:variant>
    </vt:vector>
  </HeadingPairs>
  <TitlesOfParts>
    <vt:vector size="3" baseType="lpstr">
      <vt:lpstr>Planilha1</vt:lpstr>
      <vt:lpstr>Planilha2</vt:lpstr>
      <vt:lpstr>MARGIN</vt:lpstr>
    </vt:vector>
  </TitlesOfParts>
  <Company>BNDES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Gustavo Schoenaker</dc:creator>
  <cp:lastModifiedBy>Gustavo Schoenaker</cp:lastModifiedBy>
  <dcterms:created xsi:type="dcterms:W3CDTF">2025-11-27T14:32:47Z</dcterms:created>
  <dcterms:modified xsi:type="dcterms:W3CDTF">2025-11-27T21:41:15Z</dcterms:modified>
</cp:coreProperties>
</file>