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
    </mc:Choice>
  </mc:AlternateContent>
  <bookViews>
    <workbookView xWindow="0" yWindow="0" windowWidth="28800" windowHeight="11895" tabRatio="992" activeTab="1"/>
  </bookViews>
  <sheets>
    <sheet name="Instructions" sheetId="16" r:id="rId1"/>
    <sheet name="Shuffler" sheetId="15" r:id="rId2"/>
    <sheet name="Scavenge" sheetId="1" r:id="rId3"/>
    <sheet name="Loot" sheetId="4" r:id="rId4"/>
    <sheet name="LT" sheetId="6" r:id="rId5"/>
    <sheet name="MT" sheetId="8" r:id="rId6"/>
    <sheet name="HT" sheetId="13" r:id="rId7"/>
    <sheet name="ET" sheetId="9" r:id="rId8"/>
    <sheet name="Scavenge Deck" sheetId="2" r:id="rId9"/>
    <sheet name="Loot Deck" sheetId="3" r:id="rId10"/>
    <sheet name="LT Deck" sheetId="5" r:id="rId11"/>
    <sheet name="MT Deck" sheetId="7" r:id="rId12"/>
    <sheet name="HT Deck" sheetId="14" r:id="rId13"/>
    <sheet name="ET Deck" sheetId="10" r:id="rId14"/>
    <sheet name="PictureIndex" sheetId="12" r:id="rId15"/>
  </sheets>
  <definedNames>
    <definedName name="_xlnm._FilterDatabase" localSheetId="14" hidden="1">PictureIndex!$A$1:$C$114</definedName>
    <definedName name="Blood_Money">PictureIndex!$C$20:$C$20</definedName>
    <definedName name="Cash">PictureIndex!$C$17:$C$17</definedName>
    <definedName name="Chilling_Dread">PictureIndex!$C$8:$C$8</definedName>
    <definedName name="Coins">PictureIndex!$C$24:$C$24</definedName>
    <definedName name="Dark_Stone_Rock">PictureIndex!$C$26:$C$26</definedName>
    <definedName name="Dark_Stone_Shard">PictureIndex!$C$25:$C$25</definedName>
    <definedName name="Decks">PictureIndex!$A$2:$A$114</definedName>
    <definedName name="Elite_Threat_Cards">PictureIndex!$C$67:$C$67</definedName>
    <definedName name="Emerging_Darkness">PictureIndex!$C$11:$C$11</definedName>
    <definedName name="et_001.jpg">PictureIndex!$C$67</definedName>
    <definedName name="et_002.jpg">PictureIndex!$C$69</definedName>
    <definedName name="et_003.jpg">PictureIndex!$C$73</definedName>
    <definedName name="et_004.jpg">PictureIndex!$C$75</definedName>
    <definedName name="et_005.jpg">PictureIndex!$C$77</definedName>
    <definedName name="et_006.jpg">PictureIndex!$C$79</definedName>
    <definedName name="et_007.jpg">PictureIndex!$C$81</definedName>
    <definedName name="Gold_Bars">PictureIndex!$C$19:$C$19</definedName>
    <definedName name="Gold_Nuggets">PictureIndex!$C$21:$C$21</definedName>
    <definedName name="Goliath_and_Threat_Card">PictureIndex!$C$75:$C$75</definedName>
    <definedName name="Goliath_and_Threat_Cards">PictureIndex!$C$77:$C$77</definedName>
    <definedName name="Harbinger_and_Low_Threat_Cards">PictureIndex!$C$79:$C$79</definedName>
    <definedName name="Harbinger_and_Threat_Card">PictureIndex!$C$81:$C$81</definedName>
    <definedName name="Hellbats">PictureIndex!$C$55:$C$55</definedName>
    <definedName name="Hellbats_and_Hungry_Dead_and_Corpse_Piles">PictureIndex!#REF!</definedName>
    <definedName name="Hideous_Discovery">PictureIndex!$C$12:$C$12</definedName>
    <definedName name="ht_001.jpg">PictureIndex!$C$82</definedName>
    <definedName name="ht_002.jpg">PictureIndex!$C$85</definedName>
    <definedName name="ht_003.jpg">PictureIndex!$C$86</definedName>
    <definedName name="ht_004.jpg">PictureIndex!$C$89</definedName>
    <definedName name="ht_005.jpg">PictureIndex!$C$96</definedName>
    <definedName name="ht_006.jpg">PictureIndex!$C$98</definedName>
    <definedName name="ht_007.jpg">PictureIndex!#REF!</definedName>
    <definedName name="ht_008.jpg">PictureIndex!$C$100</definedName>
    <definedName name="ht_009.jpg">PictureIndex!$C$103</definedName>
    <definedName name="ht_010.jpg">PictureIndex!$C$110</definedName>
    <definedName name="ht_011.jpg">PictureIndex!$C$111</definedName>
    <definedName name="ht_012.jpg">PictureIndex!$C$114</definedName>
    <definedName name="Hungry_Dead_and_1_Corpse_Pile">PictureIndex!$C$32:$C$32</definedName>
    <definedName name="Hungry_Dead_and_2_Corpse_Piles">PictureIndex!$C$61:$C$61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ot_001.jpg">PictureIndex!$C$15</definedName>
    <definedName name="loot_002.jpg">PictureIndex!$C$17</definedName>
    <definedName name="loot_003.jpg">PictureIndex!$C$19</definedName>
    <definedName name="loot_004.jpg">PictureIndex!$C$20</definedName>
    <definedName name="loot_005.jpg">PictureIndex!$C$21</definedName>
    <definedName name="loot_006.jpg">PictureIndex!$C$24</definedName>
    <definedName name="loot_007.jpg">PictureIndex!$C$25</definedName>
    <definedName name="loot_008.jpg">PictureIndex!$C$26</definedName>
    <definedName name="loot_009.jpg">PictureIndex!$C$27</definedName>
    <definedName name="loot_010.jpg">PictureIndex!$C$28</definedName>
    <definedName name="Low_Threat_Cards">PictureIndex!$C$64:$C$64</definedName>
    <definedName name="lt_001.jpg">PictureIndex!$C$31</definedName>
    <definedName name="lt_002.jpg">PictureIndex!$C$32</definedName>
    <definedName name="lt_003.jpg">PictureIndex!$C$34</definedName>
    <definedName name="lt_004.jpg">PictureIndex!$C$36</definedName>
    <definedName name="lt_005.jpg">PictureIndex!$C$39</definedName>
    <definedName name="lt_006.jpg">PictureIndex!$C$40</definedName>
    <definedName name="lt_007.jpg">PictureIndex!$C$45</definedName>
    <definedName name="lt_008.jpg">PictureIndex!$C$47</definedName>
    <definedName name="lt_009.jpg">PictureIndex!$C$49</definedName>
    <definedName name="lt_010.jpg">PictureIndex!$C$53</definedName>
    <definedName name="lt_011.jpg">PictureIndex!$C$55</definedName>
    <definedName name="Medium_Threat_Cards">PictureIndex!$C$82:$C$82</definedName>
    <definedName name="mt_001.jpg">PictureIndex!$C$56</definedName>
    <definedName name="mt_002.jpg">PictureIndex!$C$58</definedName>
    <definedName name="mt_003.jpg">PictureIndex!$C$61</definedName>
    <definedName name="mt_004.jpg">PictureIndex!$C$62</definedName>
    <definedName name="mt_005.jpg">PictureIndex!$C$63</definedName>
    <definedName name="mt_006.jpg">PictureIndex!#REF!</definedName>
    <definedName name="mt_007.jpg">PictureIndex!$C$64</definedName>
    <definedName name="Night_Terror">PictureIndex!$C$40:$C$40</definedName>
    <definedName name="Night_Terror_and_Low_Threat_Card">PictureIndex!#REF!</definedName>
    <definedName name="Night_Terror_and_Low_Threat_Cards">PictureIndex!$C$110:$C$110</definedName>
    <definedName name="Night_Terror_and_Medium_Threat_Card">PictureIndex!$C$111:$C$111</definedName>
    <definedName name="Night_Terror_and_Stranglers">PictureIndex!$C$47:$C$47</definedName>
    <definedName name="Night_Terror_and_Void_Spiders">PictureIndex!$C$45:$C$45</definedName>
    <definedName name="Night_Terrors">PictureIndex!$C$63:$C$63</definedName>
    <definedName name="Night_Terrors_and_Stranglers">PictureIndex!$C$114:$C$114</definedName>
    <definedName name="Night_Terrors_and_Threat_Cards">PictureIndex!$C$69:$C$69</definedName>
    <definedName name="Nothing_Here">PictureIndex!$C$4:$C$4</definedName>
    <definedName name="PicEpicThreat">OFFSET(PictureIndex!$B$1,Shuffler!$Z$3,0)</definedName>
    <definedName name="PicHighThreat">OFFSET(PictureIndex!$B$1,Shuffler!$U$3,0)</definedName>
    <definedName name="PIcLoot">OFFSET(PictureIndex!$B$1,Shuffler!$F$3,0)</definedName>
    <definedName name="PicLowThreat">OFFSET(PictureIndex!$B$1,Shuffler!$K$3,0)</definedName>
    <definedName name="PicMediumThreat">OFFSET(PictureIndex!$B$1,Shuffler!$P$3,0)</definedName>
    <definedName name="PicScavenge">OFFSET(PictureIndex!$B$1,Shuffler!$A$3,0)</definedName>
    <definedName name="Sack_of_Gold_Dust">PictureIndex!$C$15:$C$15</definedName>
    <definedName name="Scavenge">"Picture 6"</definedName>
    <definedName name="scavenge_001.jpg">PictureIndex!$C$4</definedName>
    <definedName name="scavenge_002.jpg">PictureIndex!$C$6</definedName>
    <definedName name="scavenge_003.jpg">PictureIndex!$C$7</definedName>
    <definedName name="scavenge_004.jpg">PictureIndex!$C$8</definedName>
    <definedName name="scavenge_005.jpg">PictureIndex!$C$10</definedName>
    <definedName name="scavenge_006.jpg">PictureIndex!$C$11</definedName>
    <definedName name="scavenge_007.jpg">PictureIndex!$C$12</definedName>
    <definedName name="Shuffler">"Picture 6"</definedName>
    <definedName name="Slasher">PictureIndex!$C$36:$C$36</definedName>
    <definedName name="Slasher_and_Hell_Bats">PictureIndex!$C$53:$C$53</definedName>
    <definedName name="Slasher_and_Hellbats">PictureIndex!$C$56:$C$56</definedName>
    <definedName name="Slasher_and_Hungry_Dead_and_Corpse_Piles">PictureIndex!$C$89:$C$89</definedName>
    <definedName name="Slasher_and_Low_Threat_Card">PictureIndex!$C$58:$C$58</definedName>
    <definedName name="Slasher_and_Low_Threat_Cards">PictureIndex!$C$85:$C$85</definedName>
    <definedName name="Slasher_and_Medium_Threat_Card">PictureIndex!$C$86:$C$86</definedName>
    <definedName name="Slashers">PictureIndex!$C$96:$C$96</definedName>
    <definedName name="Slashers_and_Threat_Cards">PictureIndex!$C$73:$C$73</definedName>
    <definedName name="Small_Find">PictureIndex!$C$10:$C$10</definedName>
    <definedName name="Something_Shiny">PictureIndex!$C$7:$C$7</definedName>
    <definedName name="Stranglers">PictureIndex!$C$39:$C$39</definedName>
    <definedName name="Stranglers_and_Tentacles_and_Void_Spiders">PictureIndex!$C$103:$C$103</definedName>
    <definedName name="Stranglers_and_Void_Spiders">PictureIndex!$C$100:$C$100</definedName>
    <definedName name="Tentacles">PictureIndex!$C$34:$C$34</definedName>
    <definedName name="Tentacles_and_Hellbats">PictureIndex!$C$98:$C$98</definedName>
    <definedName name="Tentacles_and_Hungry_Dead_and_Corpse_Piles">PictureIndex!$C$62:$C$62</definedName>
    <definedName name="testy">VLOOKUP(PictureIndex!XFD1,PictureIndex!XFD1:B55,2,FALSE)</definedName>
    <definedName name="This_Should_Come_In_Handy">PictureIndex!$C$27:$C$27</definedName>
    <definedName name="Useful_Discovery">PictureIndex!$C$6:$C$6</definedName>
    <definedName name="Void_Spiders">PictureIndex!$C$31:$C$31</definedName>
    <definedName name="Void_Spiders_and_Stranglers">PictureIndex!$C$49:$C$49</definedName>
    <definedName name="What_s_This?">PictureIndex!$C$28:$C$28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0" i="13" l="1"/>
  <c r="A19" i="13"/>
  <c r="A18" i="13"/>
  <c r="A17" i="13"/>
  <c r="A16" i="13"/>
  <c r="A15" i="13"/>
  <c r="A14" i="13"/>
  <c r="A13" i="13"/>
  <c r="A12" i="13"/>
  <c r="A11" i="13"/>
  <c r="A10" i="13"/>
  <c r="A9" i="13"/>
  <c r="A8" i="13"/>
  <c r="A7" i="13"/>
  <c r="A6" i="13"/>
  <c r="A5" i="13"/>
  <c r="A4" i="13"/>
  <c r="A3" i="13"/>
  <c r="A2" i="13"/>
  <c r="A11" i="9"/>
  <c r="A10" i="9"/>
  <c r="A9" i="9"/>
  <c r="A8" i="9"/>
  <c r="A7" i="9"/>
  <c r="A6" i="9"/>
  <c r="A5" i="9"/>
  <c r="A4" i="9"/>
  <c r="A3" i="9"/>
  <c r="A2" i="9"/>
  <c r="A20" i="8"/>
  <c r="A19" i="8"/>
  <c r="A18" i="8"/>
  <c r="A17" i="8"/>
  <c r="A16" i="8"/>
  <c r="A15" i="8"/>
  <c r="A14" i="8"/>
  <c r="A13" i="8"/>
  <c r="A12" i="8"/>
  <c r="A11" i="8"/>
  <c r="A10" i="8"/>
  <c r="A9" i="8"/>
  <c r="A8" i="8"/>
  <c r="A7" i="8"/>
  <c r="A6" i="8"/>
  <c r="A5" i="8"/>
  <c r="A4" i="8"/>
  <c r="A3" i="8"/>
  <c r="A2" i="8"/>
  <c r="A20" i="6"/>
  <c r="A19" i="6"/>
  <c r="A18" i="6"/>
  <c r="A17" i="6"/>
  <c r="A16" i="6"/>
  <c r="A15" i="6"/>
  <c r="A14" i="6"/>
  <c r="A13" i="6"/>
  <c r="A12" i="6"/>
  <c r="A11" i="6"/>
  <c r="A10" i="6"/>
  <c r="A9" i="6"/>
  <c r="A8" i="6"/>
  <c r="A7" i="6"/>
  <c r="A6" i="6"/>
  <c r="A5" i="6"/>
  <c r="A4" i="6"/>
  <c r="A3" i="6"/>
  <c r="A2" i="6"/>
  <c r="A25" i="4"/>
  <c r="A24" i="4"/>
  <c r="A23" i="4"/>
  <c r="A22" i="4"/>
  <c r="A21" i="4"/>
  <c r="A20" i="4"/>
  <c r="A19" i="4"/>
  <c r="A18" i="4"/>
  <c r="A17" i="4"/>
  <c r="A16" i="4"/>
  <c r="A15" i="4"/>
  <c r="A14" i="4"/>
  <c r="A13" i="4"/>
  <c r="A12" i="4"/>
  <c r="A11" i="4"/>
  <c r="A10" i="4"/>
  <c r="A9" i="4"/>
  <c r="A8" i="4"/>
  <c r="A7" i="4"/>
  <c r="A6" i="4"/>
  <c r="A5" i="4"/>
  <c r="A4" i="4"/>
  <c r="A3" i="4"/>
  <c r="A2" i="4"/>
  <c r="C13" i="13" l="1"/>
  <c r="D13" i="13" s="1"/>
  <c r="C5" i="13"/>
  <c r="D5" i="13" s="1"/>
  <c r="C8" i="13"/>
  <c r="D8" i="13" s="1"/>
  <c r="C20" i="13"/>
  <c r="D20" i="13" s="1"/>
  <c r="C15" i="13"/>
  <c r="D15" i="13" s="1"/>
  <c r="C2" i="13"/>
  <c r="D2" i="13" s="1"/>
  <c r="C10" i="13"/>
  <c r="D10" i="13" s="1"/>
  <c r="C18" i="13"/>
  <c r="D18" i="13" s="1"/>
  <c r="C3" i="13"/>
  <c r="D3" i="13" s="1"/>
  <c r="C6" i="13"/>
  <c r="D6" i="13" s="1"/>
  <c r="C14" i="13"/>
  <c r="D14" i="13" s="1"/>
  <c r="C11" i="13"/>
  <c r="D11" i="13" s="1"/>
  <c r="C19" i="13"/>
  <c r="D19" i="13" s="1"/>
  <c r="C9" i="13"/>
  <c r="D9" i="13" s="1"/>
  <c r="C17" i="13"/>
  <c r="D17" i="13" s="1"/>
  <c r="C16" i="13"/>
  <c r="D16" i="13" s="1"/>
  <c r="C4" i="13"/>
  <c r="D4" i="13" s="1"/>
  <c r="C12" i="13"/>
  <c r="D12" i="13" s="1"/>
  <c r="C7" i="13"/>
  <c r="D7" i="13" s="1"/>
  <c r="C10" i="9"/>
  <c r="D10" i="9" s="1"/>
  <c r="C2" i="9"/>
  <c r="D2" i="9" s="1"/>
  <c r="C5" i="9"/>
  <c r="D5" i="9" s="1"/>
  <c r="C7" i="9"/>
  <c r="D7" i="9" s="1"/>
  <c r="C8" i="9"/>
  <c r="D8" i="9" s="1"/>
  <c r="C3" i="9"/>
  <c r="D3" i="9" s="1"/>
  <c r="C11" i="9"/>
  <c r="D11" i="9" s="1"/>
  <c r="C6" i="9"/>
  <c r="D6" i="9" s="1"/>
  <c r="C9" i="9"/>
  <c r="D9" i="9" s="1"/>
  <c r="C4" i="9"/>
  <c r="D4" i="9" s="1"/>
  <c r="C6" i="8"/>
  <c r="D6" i="8" s="1"/>
  <c r="C14" i="8"/>
  <c r="D14" i="8" s="1"/>
  <c r="C15" i="8"/>
  <c r="D15" i="8" s="1"/>
  <c r="C8" i="8"/>
  <c r="D8" i="8" s="1"/>
  <c r="C17" i="8"/>
  <c r="D17" i="8" s="1"/>
  <c r="C9" i="8"/>
  <c r="D9" i="8" s="1"/>
  <c r="C10" i="8"/>
  <c r="D10" i="8" s="1"/>
  <c r="C18" i="8"/>
  <c r="D18" i="8" s="1"/>
  <c r="C5" i="8"/>
  <c r="D5" i="8" s="1"/>
  <c r="C13" i="8"/>
  <c r="D13" i="8" s="1"/>
  <c r="C16" i="8"/>
  <c r="D16" i="8" s="1"/>
  <c r="C3" i="8"/>
  <c r="D3" i="8" s="1"/>
  <c r="C11" i="8"/>
  <c r="D11" i="8" s="1"/>
  <c r="C19" i="8"/>
  <c r="D19" i="8" s="1"/>
  <c r="C4" i="8"/>
  <c r="D4" i="8" s="1"/>
  <c r="C12" i="8"/>
  <c r="D12" i="8" s="1"/>
  <c r="C20" i="8"/>
  <c r="D20" i="8" s="1"/>
  <c r="C2" i="8"/>
  <c r="D2" i="8" s="1"/>
  <c r="C7" i="8"/>
  <c r="D7" i="8" s="1"/>
  <c r="C5" i="6"/>
  <c r="D5" i="6" s="1"/>
  <c r="C20" i="6"/>
  <c r="D20" i="6" s="1"/>
  <c r="C3" i="6"/>
  <c r="D3" i="6" s="1"/>
  <c r="C10" i="6"/>
  <c r="D10" i="6" s="1"/>
  <c r="C18" i="6"/>
  <c r="D18" i="6" s="1"/>
  <c r="C8" i="6"/>
  <c r="D8" i="6" s="1"/>
  <c r="C16" i="6"/>
  <c r="D16" i="6" s="1"/>
  <c r="C13" i="6"/>
  <c r="D13" i="6" s="1"/>
  <c r="C11" i="6"/>
  <c r="D11" i="6" s="1"/>
  <c r="C19" i="6"/>
  <c r="D19" i="6" s="1"/>
  <c r="C4" i="6"/>
  <c r="D4" i="6" s="1"/>
  <c r="C6" i="6"/>
  <c r="D6" i="6" s="1"/>
  <c r="C14" i="6"/>
  <c r="D14" i="6" s="1"/>
  <c r="C2" i="6"/>
  <c r="D2" i="6" s="1"/>
  <c r="F2" i="15" s="1"/>
  <c r="C9" i="6"/>
  <c r="D9" i="6" s="1"/>
  <c r="C17" i="6"/>
  <c r="D17" i="6" s="1"/>
  <c r="C12" i="6"/>
  <c r="D12" i="6" s="1"/>
  <c r="C7" i="6"/>
  <c r="D7" i="6" s="1"/>
  <c r="C15" i="6"/>
  <c r="D15" i="6" s="1"/>
  <c r="C7" i="4"/>
  <c r="D7" i="4" s="1"/>
  <c r="C12" i="4"/>
  <c r="D12" i="4" s="1"/>
  <c r="C25" i="4"/>
  <c r="D25" i="4" s="1"/>
  <c r="C23" i="4"/>
  <c r="D23" i="4" s="1"/>
  <c r="C13" i="4"/>
  <c r="D13" i="4" s="1"/>
  <c r="C15" i="4"/>
  <c r="D15" i="4" s="1"/>
  <c r="C18" i="4"/>
  <c r="D18" i="4" s="1"/>
  <c r="C3" i="4"/>
  <c r="D3" i="4" s="1"/>
  <c r="C5" i="4"/>
  <c r="D5" i="4" s="1"/>
  <c r="C8" i="4"/>
  <c r="D8" i="4" s="1"/>
  <c r="C16" i="4"/>
  <c r="D16" i="4" s="1"/>
  <c r="C21" i="4"/>
  <c r="D21" i="4" s="1"/>
  <c r="C24" i="4"/>
  <c r="D24" i="4" s="1"/>
  <c r="C20" i="4"/>
  <c r="D20" i="4" s="1"/>
  <c r="C10" i="4"/>
  <c r="D10" i="4" s="1"/>
  <c r="C11" i="4"/>
  <c r="D11" i="4" s="1"/>
  <c r="C19" i="4"/>
  <c r="D19" i="4" s="1"/>
  <c r="C4" i="4"/>
  <c r="D4" i="4" s="1"/>
  <c r="C6" i="4"/>
  <c r="D6" i="4" s="1"/>
  <c r="C14" i="4"/>
  <c r="D14" i="4" s="1"/>
  <c r="C2" i="4"/>
  <c r="D2" i="4" s="1"/>
  <c r="C9" i="4"/>
  <c r="D9" i="4" s="1"/>
  <c r="C17" i="4"/>
  <c r="D17" i="4" s="1"/>
  <c r="C22" i="4"/>
  <c r="D22" i="4" s="1"/>
  <c r="A3" i="1"/>
  <c r="A4" i="1"/>
  <c r="A5" i="1"/>
  <c r="A6" i="1"/>
  <c r="A7" i="1"/>
  <c r="A8" i="1"/>
  <c r="A9" i="1"/>
  <c r="A10" i="1"/>
  <c r="A11" i="1"/>
  <c r="A12" i="1"/>
  <c r="A13" i="1"/>
  <c r="A14" i="1"/>
  <c r="A15" i="1"/>
  <c r="A16" i="1"/>
  <c r="A17" i="1"/>
  <c r="A18" i="1"/>
  <c r="A19" i="1"/>
  <c r="A20" i="1"/>
  <c r="A21" i="1"/>
  <c r="A22" i="1"/>
  <c r="A23" i="1"/>
  <c r="A24" i="1"/>
  <c r="A25" i="1"/>
  <c r="A2" i="1"/>
  <c r="F3" i="15" l="1"/>
  <c r="K2" i="15"/>
  <c r="K3" i="15" s="1"/>
  <c r="Z2" i="15"/>
  <c r="Z3" i="15" s="1"/>
  <c r="U2" i="15"/>
  <c r="U3" i="15" s="1"/>
  <c r="P2" i="15"/>
  <c r="P3" i="15" s="1"/>
  <c r="C2" i="1"/>
  <c r="C4" i="1"/>
  <c r="D4" i="1" s="1"/>
  <c r="C5" i="1"/>
  <c r="D5" i="1" s="1"/>
  <c r="C13" i="1"/>
  <c r="D13" i="1" s="1"/>
  <c r="C21" i="1"/>
  <c r="D21" i="1" s="1"/>
  <c r="C6" i="1"/>
  <c r="D6" i="1" s="1"/>
  <c r="C14" i="1"/>
  <c r="D14" i="1" s="1"/>
  <c r="C22" i="1"/>
  <c r="D22" i="1" s="1"/>
  <c r="C15" i="1"/>
  <c r="D15" i="1" s="1"/>
  <c r="C23" i="1"/>
  <c r="D23" i="1" s="1"/>
  <c r="C7" i="1"/>
  <c r="D7" i="1" s="1"/>
  <c r="C8" i="1"/>
  <c r="D8" i="1" s="1"/>
  <c r="C16" i="1"/>
  <c r="D16" i="1" s="1"/>
  <c r="C24" i="1"/>
  <c r="D24" i="1" s="1"/>
  <c r="C20" i="1"/>
  <c r="D20" i="1" s="1"/>
  <c r="C9" i="1"/>
  <c r="D9" i="1" s="1"/>
  <c r="C17" i="1"/>
  <c r="D17" i="1" s="1"/>
  <c r="C25" i="1"/>
  <c r="D25" i="1" s="1"/>
  <c r="C10" i="1"/>
  <c r="D10" i="1" s="1"/>
  <c r="C18" i="1"/>
  <c r="D18" i="1" s="1"/>
  <c r="C3" i="1"/>
  <c r="D3" i="1" s="1"/>
  <c r="C11" i="1"/>
  <c r="D11" i="1" s="1"/>
  <c r="C19" i="1"/>
  <c r="D19" i="1" s="1"/>
  <c r="C12" i="1"/>
  <c r="D12" i="1" s="1"/>
  <c r="D2" i="1" l="1"/>
  <c r="A2" i="15" s="1"/>
  <c r="A3" i="15" s="1"/>
</calcChain>
</file>

<file path=xl/sharedStrings.xml><?xml version="1.0" encoding="utf-8"?>
<sst xmlns="http://schemas.openxmlformats.org/spreadsheetml/2006/main" count="437" uniqueCount="87">
  <si>
    <t>Card #</t>
  </si>
  <si>
    <t>Position</t>
  </si>
  <si>
    <t>Sorted Z-A</t>
  </si>
  <si>
    <t>Random</t>
  </si>
  <si>
    <t/>
  </si>
  <si>
    <t>Card Name</t>
  </si>
  <si>
    <t>Nothing Here</t>
  </si>
  <si>
    <t>Useful Discovery</t>
  </si>
  <si>
    <t>Something Shiny</t>
  </si>
  <si>
    <t>Chilling Dread</t>
  </si>
  <si>
    <t>Small Find</t>
  </si>
  <si>
    <t>Emerging Darkness</t>
  </si>
  <si>
    <t>Hideous Discovery</t>
  </si>
  <si>
    <t>Sack of Gold Dust</t>
  </si>
  <si>
    <t>Cash</t>
  </si>
  <si>
    <t>Gold Bars</t>
  </si>
  <si>
    <t>Blood Money</t>
  </si>
  <si>
    <t>Gold Nuggets</t>
  </si>
  <si>
    <t>Coins</t>
  </si>
  <si>
    <t>Dark Stone Shard</t>
  </si>
  <si>
    <t>Dark Stone Rock</t>
  </si>
  <si>
    <t>This Should Come In Handy</t>
  </si>
  <si>
    <t>What's This?!</t>
  </si>
  <si>
    <t>6 Void Spiders</t>
  </si>
  <si>
    <t>Hungry Dead and 1 Corpse Pile</t>
  </si>
  <si>
    <t>Tentacles</t>
  </si>
  <si>
    <t>Slasher</t>
  </si>
  <si>
    <t>Night Terror</t>
  </si>
  <si>
    <t>Night Terror and Void Spiders</t>
  </si>
  <si>
    <t>Night Terror and Stranglers</t>
  </si>
  <si>
    <t>Void Spiders and Stranglers</t>
  </si>
  <si>
    <t>Slasher and Hell Bats</t>
  </si>
  <si>
    <t>Hellbats</t>
  </si>
  <si>
    <t>6 Stranglers</t>
  </si>
  <si>
    <t>12 Void Spiders</t>
  </si>
  <si>
    <t>6 Hellbats</t>
  </si>
  <si>
    <t>6 Tentacles</t>
  </si>
  <si>
    <t>Slasher and Hellbats</t>
  </si>
  <si>
    <t>Slasher and Low Threat Card</t>
  </si>
  <si>
    <t>Hungry Dead and 2 Corpse Piles</t>
  </si>
  <si>
    <t>Tentacles and Hungry Dead and Corpse Piles</t>
  </si>
  <si>
    <t>Night Terrors</t>
  </si>
  <si>
    <t>Night Terror and Low Threat Card</t>
  </si>
  <si>
    <t>Low Threat Cards</t>
  </si>
  <si>
    <t>2 Medium Threat Cards</t>
  </si>
  <si>
    <t>Slasher and Medium Threat Card</t>
  </si>
  <si>
    <t>3 Slashers</t>
  </si>
  <si>
    <t>6 Tentacles and 6 Hellbats</t>
  </si>
  <si>
    <t>6 Stranglers and 12 Void Spiders</t>
  </si>
  <si>
    <t>Night Terror and Low Threat Cards</t>
  </si>
  <si>
    <t>Night Terror and Medium Threat Card</t>
  </si>
  <si>
    <t>Night Terrors and Stranglers</t>
  </si>
  <si>
    <t>3 Night Terrors</t>
  </si>
  <si>
    <t>Night Terrors and Threat Cards</t>
  </si>
  <si>
    <t>Slashers and Threat Cards</t>
  </si>
  <si>
    <t>Goliath and Threat Card</t>
  </si>
  <si>
    <t>Harbinger and Low Threat Cards</t>
  </si>
  <si>
    <t>Harbinger and Threat Card</t>
  </si>
  <si>
    <t>Deck</t>
  </si>
  <si>
    <t>Scavenge</t>
  </si>
  <si>
    <t>Loot</t>
  </si>
  <si>
    <t>Low Threat</t>
  </si>
  <si>
    <t>Medium Threat</t>
  </si>
  <si>
    <t>High Threat Deck</t>
  </si>
  <si>
    <t>Epic Threat Deck</t>
  </si>
  <si>
    <t>Image</t>
  </si>
  <si>
    <t>High Threat</t>
  </si>
  <si>
    <t>Epic Threat</t>
  </si>
  <si>
    <t>Slasher and 2 Low Threat Cards</t>
  </si>
  <si>
    <t>6 Hellbats and PP Hungry Dead and 3 Corpse Piles</t>
  </si>
  <si>
    <t>P Stranglers P Tentacles and PP Void Spiders</t>
  </si>
  <si>
    <t>Slasher and PP Hungry Dead and 3 Corpse Piles</t>
  </si>
  <si>
    <t>Night Terrors and 6 Stranglers</t>
  </si>
  <si>
    <t>2 Elite Threat Cards</t>
  </si>
  <si>
    <t>Goliath and 2 Low Threat Cards</t>
  </si>
  <si>
    <t>PP Void Spiders</t>
  </si>
  <si>
    <t>P Stranglers</t>
  </si>
  <si>
    <t>PP Void Spiders and P Stranglers</t>
  </si>
  <si>
    <t>D3 Slashers</t>
  </si>
  <si>
    <t>Shadows of Brimstone Deck Shuffler</t>
  </si>
  <si>
    <t>The goal of this spreadsheet was to allevaite the space that several of the decks use on the table surface. This document will shuffle the Loot, Scavenge, Low Threat, Medium Threat, High Threat and Epic Threat decks from both the City of Ancients and Swamps of Jargano core sets. These decks have been combined in this document but are easily editable to your liking and needs.</t>
  </si>
  <si>
    <t>The beauty of this spreadsheet is that is easily customizable as well. You can add and delete cards from future expansions like Caverns of Cynder, future expansions or fan-made scenarios. If you are familiar with some of the inner workings of Excel, it is very simple.</t>
  </si>
  <si>
    <t>I have not included images of the card scans in this document for fear of infringing on Flying Frog Productions copyrights. However, scanning and adding your images, though time consuming, is a simple process. Just insert the picture into column B and the PictureIndex tab and size it to fit within the cell. I resize mine to 1.75" and it fits within the cell.</t>
  </si>
  <si>
    <t>Another option is to write the text from the card into column B of the PictureIndex tab. While you won't see that artwork from the card, you will get the flavor text and instructions.</t>
  </si>
  <si>
    <t>If you do add expansions or user-made cards, then follow the instructions above. The only changes you will need to make are adding a space on the Shuffler tab for any new deck and using the Excel function "Define Name" under the Formulas tab. Each deck should have it's own Defined Name. Once you have done that, you will need to copy and edit the vlookup formulas for the Shuffler deck.</t>
  </si>
  <si>
    <r>
      <rPr>
        <b/>
        <sz val="11"/>
        <color theme="1"/>
        <rFont val="Calibri"/>
        <family val="2"/>
        <scheme val="minor"/>
      </rPr>
      <t>Note:</t>
    </r>
    <r>
      <rPr>
        <sz val="11"/>
        <color theme="1"/>
        <rFont val="Calibri"/>
        <family val="2"/>
        <scheme val="minor"/>
      </rPr>
      <t xml:space="preserve"> This spreadsheet only works for decks that are reshuffled. It does not remove cards from the deck. Therefore, in its current state, it will not work for Gear, Map Deck, etc.</t>
    </r>
  </si>
  <si>
    <t>Please feel free to contact me through the forum with any questions or feature requests you may have.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</si>
</sst>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
  </numFmts>
  <fonts count="8" x14ac:knownFonts="1">
    <font>
      <sz val="11"/>
      <color theme="1"/>
      <name val="Calibri"/>
      <family val="2"/>
      <scheme val="minor"/>
    </font>
    <font>
      <sz val="11"/>
      <color theme="1"/>
      <name val="Calibri"/>
      <family val="2"/>
    </font>
    <font>
      <b/>
      <sz val="11"/>
      <color theme="1"/>
      <name val="Calibri"/>
      <family val="2"/>
      <scheme val="minor"/>
    </font>
    <font>
      <sz val="18"/>
      <color theme="1"/>
      <name val="Calibri"/>
      <family val="2"/>
      <scheme val="minor"/>
    </font>
    <font>
      <sz val="11"/>
      <color rgb="FFFF0000"/>
      <name val="Calibri"/>
      <family val="2"/>
      <scheme val="minor"/>
    </font>
    <font>
      <b/>
      <sz val="11"/>
      <color rgb="FFFF0000"/>
      <name val="Calibri"/>
      <family val="2"/>
      <scheme val="minor"/>
    </font>
    <font>
      <b/>
      <sz val="36"/>
      <color rgb="FF000000"/>
      <name val="Calibri"/>
      <family val="2"/>
    </font>
    <font>
      <b/>
      <sz val="18"/>
      <color theme="1"/>
      <name val="Calibri"/>
      <family val="2"/>
      <scheme val="minor"/>
    </font>
  </fonts>
  <fills count="3">
    <fill>
      <patternFill patternType="none"/>
    </fill>
    <fill>
      <patternFill patternType="gray125"/>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0" fillId="0" borderId="0" xfId="0" applyAlignment="1">
      <alignment horizontal="center"/>
    </xf>
    <xf numFmtId="164" fontId="0" fillId="0" borderId="0" xfId="0" applyNumberFormat="1"/>
    <xf numFmtId="0" fontId="1" fillId="0" borderId="0" xfId="0" applyFont="1"/>
    <xf numFmtId="0" fontId="2" fillId="0" borderId="0" xfId="0" applyFont="1"/>
    <xf numFmtId="0" fontId="0" fillId="2" borderId="0" xfId="0" applyFont="1" applyFill="1" applyBorder="1"/>
    <xf numFmtId="0" fontId="0" fillId="2" borderId="0" xfId="0" applyFill="1" applyBorder="1"/>
    <xf numFmtId="0" fontId="2" fillId="2" borderId="0" xfId="0" applyFont="1" applyFill="1" applyBorder="1" applyAlignment="1">
      <alignment horizontal="center"/>
    </xf>
    <xf numFmtId="0" fontId="2" fillId="2" borderId="0" xfId="0" applyFont="1" applyFill="1" applyBorder="1" applyAlignment="1">
      <alignment horizontal="center" wrapText="1"/>
    </xf>
    <xf numFmtId="0" fontId="0" fillId="2" borderId="0" xfId="0" applyFill="1" applyBorder="1" applyAlignment="1"/>
    <xf numFmtId="0" fontId="1" fillId="2" borderId="0" xfId="0" applyFont="1" applyFill="1" applyBorder="1"/>
    <xf numFmtId="0" fontId="4" fillId="2" borderId="0" xfId="0" applyFont="1" applyFill="1" applyBorder="1" applyAlignment="1">
      <alignment vertical="center"/>
    </xf>
    <xf numFmtId="0" fontId="1" fillId="2" borderId="0" xfId="0" applyFont="1" applyFill="1" applyBorder="1" applyAlignment="1"/>
    <xf numFmtId="15" fontId="0" fillId="2" borderId="1" xfId="0" applyNumberFormat="1" applyFill="1" applyBorder="1" applyAlignment="1">
      <alignment horizontal="center"/>
    </xf>
    <xf numFmtId="0" fontId="3" fillId="2" borderId="1" xfId="0" applyFont="1" applyFill="1" applyBorder="1" applyAlignment="1">
      <alignment horizontal="center"/>
    </xf>
    <xf numFmtId="0" fontId="5" fillId="2" borderId="1" xfId="0" applyFont="1" applyFill="1" applyBorder="1" applyAlignment="1">
      <alignment horizontal="center" vertical="center" wrapText="1"/>
    </xf>
    <xf numFmtId="0" fontId="5" fillId="2" borderId="1" xfId="0" applyFont="1" applyFill="1" applyBorder="1" applyAlignment="1">
      <alignment horizontal="center" vertical="center"/>
    </xf>
    <xf numFmtId="0" fontId="0" fillId="2" borderId="1" xfId="0" applyFill="1" applyBorder="1" applyAlignment="1">
      <alignment horizontal="center"/>
    </xf>
    <xf numFmtId="0" fontId="2" fillId="0" borderId="0" xfId="0" applyNumberFormat="1" applyFont="1" applyAlignment="1">
      <alignment horizontal="center"/>
    </xf>
    <xf numFmtId="0" fontId="0" fillId="0" borderId="0" xfId="0" applyNumberFormat="1" applyAlignment="1">
      <alignment horizontal="center"/>
    </xf>
    <xf numFmtId="0" fontId="0" fillId="2" borderId="0" xfId="0" applyFill="1"/>
    <xf numFmtId="0" fontId="7" fillId="2" borderId="0" xfId="0" applyFont="1" applyFill="1" applyAlignment="1">
      <alignment horizontal="center"/>
    </xf>
    <xf numFmtId="0" fontId="0" fillId="2" borderId="0" xfId="0" applyFill="1" applyAlignment="1">
      <alignment horizontal="left" vertical="top" wrapText="1"/>
    </xf>
    <xf numFmtId="0" fontId="0" fillId="2" borderId="0" xfId="0" applyFill="1" applyAlignment="1">
      <alignment vertical="top"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B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3</xdr:row>
          <xdr:rowOff>7620</xdr:rowOff>
        </xdr:from>
        <xdr:to>
          <xdr:col>8</xdr:col>
          <xdr:colOff>512228</xdr:colOff>
          <xdr:row>20</xdr:row>
          <xdr:rowOff>99060</xdr:rowOff>
        </xdr:to>
        <xdr:pic>
          <xdr:nvPicPr>
            <xdr:cNvPr id="4" name="Picture 3"/>
            <xdr:cNvPicPr>
              <a:picLocks noChangeAspect="1" noChangeArrowheads="1"/>
              <a:extLst>
                <a:ext uri="{84589F7E-364E-4C9E-8A38-B11213B215E9}">
                  <a14:cameraTool cellRange="PIcLoot" spid="_x0000_s15938"/>
                </a:ext>
              </a:extLst>
            </xdr:cNvPicPr>
          </xdr:nvPicPr>
          <xdr:blipFill>
            <a:blip xmlns:r="http://schemas.openxmlformats.org/officeDocument/2006/relationships" r:embed="rId1"/>
            <a:srcRect/>
            <a:stretch>
              <a:fillRect/>
            </a:stretch>
          </xdr:blipFill>
          <xdr:spPr bwMode="auto">
            <a:xfrm>
              <a:off x="2514600" y="861060"/>
              <a:ext cx="2203868" cy="32004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xdr:colOff>
          <xdr:row>3</xdr:row>
          <xdr:rowOff>0</xdr:rowOff>
        </xdr:from>
        <xdr:to>
          <xdr:col>13</xdr:col>
          <xdr:colOff>450828</xdr:colOff>
          <xdr:row>20</xdr:row>
          <xdr:rowOff>91440</xdr:rowOff>
        </xdr:to>
        <xdr:pic>
          <xdr:nvPicPr>
            <xdr:cNvPr id="5" name="Picture 4"/>
            <xdr:cNvPicPr>
              <a:picLocks noChangeAspect="1" noChangeArrowheads="1"/>
              <a:extLst>
                <a:ext uri="{84589F7E-364E-4C9E-8A38-B11213B215E9}">
                  <a14:cameraTool cellRange="PicLowThreat" spid="_x0000_s15939"/>
                </a:ext>
              </a:extLst>
            </xdr:cNvPicPr>
          </xdr:nvPicPr>
          <xdr:blipFill>
            <a:blip xmlns:r="http://schemas.openxmlformats.org/officeDocument/2006/relationships" r:embed="rId2"/>
            <a:srcRect/>
            <a:stretch>
              <a:fillRect/>
            </a:stretch>
          </xdr:blipFill>
          <xdr:spPr bwMode="auto">
            <a:xfrm>
              <a:off x="4861560" y="853440"/>
              <a:ext cx="2127228" cy="32004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xdr:colOff>
          <xdr:row>3</xdr:row>
          <xdr:rowOff>15240</xdr:rowOff>
        </xdr:from>
        <xdr:to>
          <xdr:col>18</xdr:col>
          <xdr:colOff>512229</xdr:colOff>
          <xdr:row>20</xdr:row>
          <xdr:rowOff>106680</xdr:rowOff>
        </xdr:to>
        <xdr:pic>
          <xdr:nvPicPr>
            <xdr:cNvPr id="7" name="Picture 6"/>
            <xdr:cNvPicPr>
              <a:picLocks noChangeAspect="1" noChangeArrowheads="1"/>
              <a:extLst>
                <a:ext uri="{84589F7E-364E-4C9E-8A38-B11213B215E9}">
                  <a14:cameraTool cellRange="PicMediumThreat" spid="_x0000_s15940"/>
                </a:ext>
              </a:extLst>
            </xdr:cNvPicPr>
          </xdr:nvPicPr>
          <xdr:blipFill>
            <a:blip xmlns:r="http://schemas.openxmlformats.org/officeDocument/2006/relationships" r:embed="rId2"/>
            <a:srcRect/>
            <a:stretch>
              <a:fillRect/>
            </a:stretch>
          </xdr:blipFill>
          <xdr:spPr bwMode="auto">
            <a:xfrm>
              <a:off x="7178041" y="868680"/>
              <a:ext cx="2203868" cy="32004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3</xdr:row>
          <xdr:rowOff>7620</xdr:rowOff>
        </xdr:from>
        <xdr:to>
          <xdr:col>23</xdr:col>
          <xdr:colOff>512229</xdr:colOff>
          <xdr:row>20</xdr:row>
          <xdr:rowOff>99060</xdr:rowOff>
        </xdr:to>
        <xdr:pic>
          <xdr:nvPicPr>
            <xdr:cNvPr id="8" name="Picture 7"/>
            <xdr:cNvPicPr>
              <a:picLocks noChangeAspect="1" noChangeArrowheads="1"/>
              <a:extLst>
                <a:ext uri="{84589F7E-364E-4C9E-8A38-B11213B215E9}">
                  <a14:cameraTool cellRange="PicHighThreat" spid="_x0000_s15941"/>
                </a:ext>
              </a:extLst>
            </xdr:cNvPicPr>
          </xdr:nvPicPr>
          <xdr:blipFill>
            <a:blip xmlns:r="http://schemas.openxmlformats.org/officeDocument/2006/relationships" r:embed="rId2"/>
            <a:srcRect/>
            <a:stretch>
              <a:fillRect/>
            </a:stretch>
          </xdr:blipFill>
          <xdr:spPr bwMode="auto">
            <a:xfrm>
              <a:off x="9509760" y="861060"/>
              <a:ext cx="2203869" cy="32004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3</xdr:row>
          <xdr:rowOff>15240</xdr:rowOff>
        </xdr:from>
        <xdr:to>
          <xdr:col>28</xdr:col>
          <xdr:colOff>512229</xdr:colOff>
          <xdr:row>20</xdr:row>
          <xdr:rowOff>106680</xdr:rowOff>
        </xdr:to>
        <xdr:pic>
          <xdr:nvPicPr>
            <xdr:cNvPr id="11" name="Picture 10"/>
            <xdr:cNvPicPr>
              <a:picLocks noChangeAspect="1" noChangeArrowheads="1"/>
              <a:extLst>
                <a:ext uri="{84589F7E-364E-4C9E-8A38-B11213B215E9}">
                  <a14:cameraTool cellRange="PicEpicThreat" spid="_x0000_s15942"/>
                </a:ext>
              </a:extLst>
            </xdr:cNvPicPr>
          </xdr:nvPicPr>
          <xdr:blipFill>
            <a:blip xmlns:r="http://schemas.openxmlformats.org/officeDocument/2006/relationships" r:embed="rId2"/>
            <a:srcRect/>
            <a:stretch>
              <a:fillRect/>
            </a:stretch>
          </xdr:blipFill>
          <xdr:spPr bwMode="auto">
            <a:xfrm>
              <a:off x="11841480" y="868680"/>
              <a:ext cx="2203869" cy="32004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0</xdr:col>
          <xdr:colOff>133350</xdr:colOff>
          <xdr:row>22</xdr:row>
          <xdr:rowOff>123825</xdr:rowOff>
        </xdr:from>
        <xdr:to>
          <xdr:col>29</xdr:col>
          <xdr:colOff>0</xdr:colOff>
          <xdr:row>26</xdr:row>
          <xdr:rowOff>66675</xdr:rowOff>
        </xdr:to>
        <xdr:sp macro="" textlink="">
          <xdr:nvSpPr>
            <xdr:cNvPr id="15511" name="Button 151" hidden="1">
              <a:extLst>
                <a:ext uri="{63B3BB69-23CF-44E3-9099-C40C66FF867C}">
                  <a14:compatExt spid="_x0000_s15511"/>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US" sz="3600" b="1" i="0" u="none" strike="noStrike" baseline="0">
                  <a:solidFill>
                    <a:srgbClr val="000000"/>
                  </a:solidFill>
                  <a:latin typeface="Calibri"/>
                </a:rPr>
                <a:t>SHUFFLE ALL DECKS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3</xdr:row>
          <xdr:rowOff>15239</xdr:rowOff>
        </xdr:from>
        <xdr:to>
          <xdr:col>3</xdr:col>
          <xdr:colOff>436028</xdr:colOff>
          <xdr:row>20</xdr:row>
          <xdr:rowOff>106679</xdr:rowOff>
        </xdr:to>
        <xdr:pic>
          <xdr:nvPicPr>
            <xdr:cNvPr id="15" name="Picture 14"/>
            <xdr:cNvPicPr>
              <a:picLocks noChangeAspect="1" noChangeArrowheads="1"/>
              <a:extLst>
                <a:ext uri="{84589F7E-364E-4C9E-8A38-B11213B215E9}">
                  <a14:cameraTool cellRange="PicScavenge" spid="_x0000_s15943"/>
                </a:ext>
              </a:extLst>
            </xdr:cNvPicPr>
          </xdr:nvPicPr>
          <xdr:blipFill>
            <a:blip xmlns:r="http://schemas.openxmlformats.org/officeDocument/2006/relationships" r:embed="rId2"/>
            <a:srcRect/>
            <a:stretch>
              <a:fillRect/>
            </a:stretch>
          </xdr:blipFill>
          <xdr:spPr bwMode="auto">
            <a:xfrm>
              <a:off x="60960" y="685799"/>
              <a:ext cx="2203868" cy="32004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7"/>
  <sheetViews>
    <sheetView view="pageLayout" zoomScaleNormal="100" workbookViewId="0">
      <selection activeCell="C36" sqref="C36"/>
    </sheetView>
  </sheetViews>
  <sheetFormatPr defaultRowHeight="15" x14ac:dyDescent="0.25"/>
  <sheetData>
    <row r="1" spans="1:9" ht="23.25" x14ac:dyDescent="0.35">
      <c r="A1" s="21" t="s">
        <v>79</v>
      </c>
      <c r="B1" s="21"/>
      <c r="C1" s="21"/>
      <c r="D1" s="21"/>
      <c r="E1" s="21"/>
      <c r="F1" s="21"/>
      <c r="G1" s="21"/>
      <c r="H1" s="21"/>
      <c r="I1" s="21"/>
    </row>
    <row r="2" spans="1:9" x14ac:dyDescent="0.25">
      <c r="A2" s="22" t="s">
        <v>80</v>
      </c>
      <c r="B2" s="22"/>
      <c r="C2" s="22"/>
      <c r="D2" s="22"/>
      <c r="E2" s="22"/>
      <c r="F2" s="22"/>
      <c r="G2" s="22"/>
      <c r="H2" s="22"/>
      <c r="I2" s="22"/>
    </row>
    <row r="3" spans="1:9" x14ac:dyDescent="0.25">
      <c r="A3" s="22"/>
      <c r="B3" s="22"/>
      <c r="C3" s="22"/>
      <c r="D3" s="22"/>
      <c r="E3" s="22"/>
      <c r="F3" s="22"/>
      <c r="G3" s="22"/>
      <c r="H3" s="22"/>
      <c r="I3" s="22"/>
    </row>
    <row r="4" spans="1:9" x14ac:dyDescent="0.25">
      <c r="A4" s="22"/>
      <c r="B4" s="22"/>
      <c r="C4" s="22"/>
      <c r="D4" s="22"/>
      <c r="E4" s="22"/>
      <c r="F4" s="22"/>
      <c r="G4" s="22"/>
      <c r="H4" s="22"/>
      <c r="I4" s="22"/>
    </row>
    <row r="5" spans="1:9" x14ac:dyDescent="0.25">
      <c r="A5" s="22"/>
      <c r="B5" s="22"/>
      <c r="C5" s="22"/>
      <c r="D5" s="22"/>
      <c r="E5" s="22"/>
      <c r="F5" s="22"/>
      <c r="G5" s="22"/>
      <c r="H5" s="22"/>
      <c r="I5" s="22"/>
    </row>
    <row r="6" spans="1:9" x14ac:dyDescent="0.25">
      <c r="A6" s="22"/>
      <c r="B6" s="22"/>
      <c r="C6" s="22"/>
      <c r="D6" s="22"/>
      <c r="E6" s="22"/>
      <c r="F6" s="22"/>
      <c r="G6" s="22"/>
      <c r="H6" s="22"/>
      <c r="I6" s="22"/>
    </row>
    <row r="7" spans="1:9" x14ac:dyDescent="0.25">
      <c r="A7" s="22" t="s">
        <v>81</v>
      </c>
      <c r="B7" s="22"/>
      <c r="C7" s="22"/>
      <c r="D7" s="22"/>
      <c r="E7" s="22"/>
      <c r="F7" s="22"/>
      <c r="G7" s="22"/>
      <c r="H7" s="22"/>
      <c r="I7" s="22"/>
    </row>
    <row r="8" spans="1:9" x14ac:dyDescent="0.25">
      <c r="A8" s="22"/>
      <c r="B8" s="22"/>
      <c r="C8" s="22"/>
      <c r="D8" s="22"/>
      <c r="E8" s="22"/>
      <c r="F8" s="22"/>
      <c r="G8" s="22"/>
      <c r="H8" s="22"/>
      <c r="I8" s="22"/>
    </row>
    <row r="9" spans="1:9" x14ac:dyDescent="0.25">
      <c r="A9" s="22"/>
      <c r="B9" s="22"/>
      <c r="C9" s="22"/>
      <c r="D9" s="22"/>
      <c r="E9" s="22"/>
      <c r="F9" s="22"/>
      <c r="G9" s="22"/>
      <c r="H9" s="22"/>
      <c r="I9" s="22"/>
    </row>
    <row r="10" spans="1:9" x14ac:dyDescent="0.25">
      <c r="A10" s="20"/>
      <c r="B10" s="20"/>
      <c r="C10" s="20"/>
      <c r="D10" s="20"/>
      <c r="E10" s="20"/>
      <c r="F10" s="20"/>
      <c r="G10" s="20"/>
      <c r="H10" s="20"/>
      <c r="I10" s="20"/>
    </row>
    <row r="11" spans="1:9" ht="15" customHeight="1" x14ac:dyDescent="0.25">
      <c r="A11" s="22" t="s">
        <v>82</v>
      </c>
      <c r="B11" s="22"/>
      <c r="C11" s="22"/>
      <c r="D11" s="22"/>
      <c r="E11" s="22"/>
      <c r="F11" s="22"/>
      <c r="G11" s="22"/>
      <c r="H11" s="22"/>
      <c r="I11" s="22"/>
    </row>
    <row r="12" spans="1:9" x14ac:dyDescent="0.25">
      <c r="A12" s="22"/>
      <c r="B12" s="22"/>
      <c r="C12" s="22"/>
      <c r="D12" s="22"/>
      <c r="E12" s="22"/>
      <c r="F12" s="22"/>
      <c r="G12" s="22"/>
      <c r="H12" s="22"/>
      <c r="I12" s="22"/>
    </row>
    <row r="13" spans="1:9" x14ac:dyDescent="0.25">
      <c r="A13" s="22"/>
      <c r="B13" s="22"/>
      <c r="C13" s="22"/>
      <c r="D13" s="22"/>
      <c r="E13" s="22"/>
      <c r="F13" s="22"/>
      <c r="G13" s="22"/>
      <c r="H13" s="22"/>
      <c r="I13" s="22"/>
    </row>
    <row r="14" spans="1:9" x14ac:dyDescent="0.25">
      <c r="A14" s="22"/>
      <c r="B14" s="22"/>
      <c r="C14" s="22"/>
      <c r="D14" s="22"/>
      <c r="E14" s="22"/>
      <c r="F14" s="22"/>
      <c r="G14" s="22"/>
      <c r="H14" s="22"/>
      <c r="I14" s="22"/>
    </row>
    <row r="15" spans="1:9" x14ac:dyDescent="0.25">
      <c r="A15" s="20"/>
      <c r="B15" s="20"/>
      <c r="C15" s="20"/>
      <c r="D15" s="20"/>
      <c r="E15" s="20"/>
      <c r="F15" s="20"/>
      <c r="G15" s="20"/>
      <c r="H15" s="20"/>
      <c r="I15" s="20"/>
    </row>
    <row r="16" spans="1:9" x14ac:dyDescent="0.25">
      <c r="A16" s="22" t="s">
        <v>83</v>
      </c>
      <c r="B16" s="22"/>
      <c r="C16" s="22"/>
      <c r="D16" s="22"/>
      <c r="E16" s="22"/>
      <c r="F16" s="22"/>
      <c r="G16" s="22"/>
      <c r="H16" s="22"/>
      <c r="I16" s="22"/>
    </row>
    <row r="17" spans="1:9" x14ac:dyDescent="0.25">
      <c r="A17" s="22"/>
      <c r="B17" s="22"/>
      <c r="C17" s="22"/>
      <c r="D17" s="22"/>
      <c r="E17" s="22"/>
      <c r="F17" s="22"/>
      <c r="G17" s="22"/>
      <c r="H17" s="22"/>
      <c r="I17" s="22"/>
    </row>
    <row r="18" spans="1:9" x14ac:dyDescent="0.25">
      <c r="A18" s="20"/>
      <c r="B18" s="20"/>
      <c r="C18" s="20"/>
      <c r="D18" s="20"/>
      <c r="E18" s="20"/>
      <c r="F18" s="20"/>
      <c r="G18" s="20"/>
      <c r="H18" s="20"/>
      <c r="I18" s="20"/>
    </row>
    <row r="19" spans="1:9" ht="15" customHeight="1" x14ac:dyDescent="0.25">
      <c r="A19" s="22" t="s">
        <v>84</v>
      </c>
      <c r="B19" s="22"/>
      <c r="C19" s="22"/>
      <c r="D19" s="22"/>
      <c r="E19" s="22"/>
      <c r="F19" s="22"/>
      <c r="G19" s="22"/>
      <c r="H19" s="22"/>
      <c r="I19" s="22"/>
    </row>
    <row r="20" spans="1:9" x14ac:dyDescent="0.25">
      <c r="A20" s="22"/>
      <c r="B20" s="22"/>
      <c r="C20" s="22"/>
      <c r="D20" s="22"/>
      <c r="E20" s="22"/>
      <c r="F20" s="22"/>
      <c r="G20" s="22"/>
      <c r="H20" s="22"/>
      <c r="I20" s="22"/>
    </row>
    <row r="21" spans="1:9" x14ac:dyDescent="0.25">
      <c r="A21" s="22"/>
      <c r="B21" s="22"/>
      <c r="C21" s="22"/>
      <c r="D21" s="22"/>
      <c r="E21" s="22"/>
      <c r="F21" s="22"/>
      <c r="G21" s="22"/>
      <c r="H21" s="22"/>
      <c r="I21" s="22"/>
    </row>
    <row r="22" spans="1:9" x14ac:dyDescent="0.25">
      <c r="A22" s="22"/>
      <c r="B22" s="22"/>
      <c r="C22" s="22"/>
      <c r="D22" s="22"/>
      <c r="E22" s="22"/>
      <c r="F22" s="22"/>
      <c r="G22" s="22"/>
      <c r="H22" s="22"/>
      <c r="I22" s="22"/>
    </row>
    <row r="23" spans="1:9" x14ac:dyDescent="0.25">
      <c r="A23" s="22"/>
      <c r="B23" s="22"/>
      <c r="C23" s="22"/>
      <c r="D23" s="22"/>
      <c r="E23" s="22"/>
      <c r="F23" s="22"/>
      <c r="G23" s="22"/>
      <c r="H23" s="22"/>
      <c r="I23" s="22"/>
    </row>
    <row r="24" spans="1:9" x14ac:dyDescent="0.25">
      <c r="A24" s="20"/>
      <c r="B24" s="20"/>
      <c r="C24" s="20"/>
      <c r="D24" s="20"/>
      <c r="E24" s="20"/>
      <c r="F24" s="20"/>
      <c r="G24" s="20"/>
      <c r="H24" s="20"/>
      <c r="I24" s="20"/>
    </row>
    <row r="25" spans="1:9" ht="15" customHeight="1" x14ac:dyDescent="0.25">
      <c r="A25" s="22" t="s">
        <v>85</v>
      </c>
      <c r="B25" s="22"/>
      <c r="C25" s="22"/>
      <c r="D25" s="22"/>
      <c r="E25" s="22"/>
      <c r="F25" s="22"/>
      <c r="G25" s="22"/>
      <c r="H25" s="22"/>
      <c r="I25" s="22"/>
    </row>
    <row r="26" spans="1:9" x14ac:dyDescent="0.25">
      <c r="A26" s="22"/>
      <c r="B26" s="22"/>
      <c r="C26" s="22"/>
      <c r="D26" s="22"/>
      <c r="E26" s="22"/>
      <c r="F26" s="22"/>
      <c r="G26" s="22"/>
      <c r="H26" s="22"/>
      <c r="I26" s="22"/>
    </row>
    <row r="27" spans="1:9" x14ac:dyDescent="0.25">
      <c r="A27" s="23"/>
      <c r="B27" s="23"/>
      <c r="C27" s="23"/>
      <c r="D27" s="23"/>
      <c r="E27" s="23"/>
      <c r="F27" s="23"/>
      <c r="G27" s="23"/>
      <c r="H27" s="23"/>
      <c r="I27" s="23"/>
    </row>
    <row r="28" spans="1:9" ht="15" customHeight="1" x14ac:dyDescent="0.25">
      <c r="A28" s="22" t="s">
        <v>86</v>
      </c>
      <c r="B28" s="22"/>
      <c r="C28" s="22"/>
      <c r="D28" s="22"/>
      <c r="E28" s="22"/>
      <c r="F28" s="22"/>
      <c r="G28" s="22"/>
      <c r="H28" s="22"/>
      <c r="I28" s="22"/>
    </row>
    <row r="29" spans="1:9" x14ac:dyDescent="0.25">
      <c r="A29" s="22"/>
      <c r="B29" s="22"/>
      <c r="C29" s="22"/>
      <c r="D29" s="22"/>
      <c r="E29" s="22"/>
      <c r="F29" s="22"/>
      <c r="G29" s="22"/>
      <c r="H29" s="22"/>
      <c r="I29" s="22"/>
    </row>
    <row r="30" spans="1:9" x14ac:dyDescent="0.25">
      <c r="A30" s="20"/>
      <c r="B30" s="20"/>
      <c r="C30" s="20"/>
      <c r="D30" s="20"/>
      <c r="E30" s="20"/>
      <c r="F30" s="20"/>
      <c r="G30" s="20"/>
      <c r="H30" s="20"/>
      <c r="I30" s="20"/>
    </row>
    <row r="31" spans="1:9" x14ac:dyDescent="0.25">
      <c r="A31" s="20"/>
      <c r="B31" s="20"/>
      <c r="C31" s="20"/>
      <c r="D31" s="20"/>
      <c r="E31" s="20"/>
      <c r="F31" s="20"/>
      <c r="G31" s="20"/>
      <c r="H31" s="20"/>
      <c r="I31" s="20"/>
    </row>
    <row r="32" spans="1:9" x14ac:dyDescent="0.25">
      <c r="A32" s="20"/>
      <c r="B32" s="20"/>
      <c r="C32" s="20"/>
      <c r="D32" s="20"/>
      <c r="E32" s="20"/>
      <c r="F32" s="20"/>
      <c r="G32" s="20"/>
      <c r="H32" s="20"/>
      <c r="I32" s="20"/>
    </row>
    <row r="33" spans="1:9" x14ac:dyDescent="0.25">
      <c r="A33" s="20"/>
      <c r="B33" s="20"/>
      <c r="C33" s="20"/>
      <c r="D33" s="20"/>
      <c r="E33" s="20"/>
      <c r="F33" s="20"/>
      <c r="G33" s="20"/>
      <c r="H33" s="20"/>
      <c r="I33" s="20"/>
    </row>
    <row r="34" spans="1:9" x14ac:dyDescent="0.25">
      <c r="A34" s="20"/>
      <c r="B34" s="20"/>
      <c r="C34" s="20"/>
      <c r="D34" s="20"/>
      <c r="E34" s="20"/>
      <c r="F34" s="20"/>
      <c r="G34" s="20"/>
      <c r="H34" s="20"/>
      <c r="I34" s="20"/>
    </row>
    <row r="35" spans="1:9" x14ac:dyDescent="0.25">
      <c r="A35" s="20"/>
      <c r="B35" s="20"/>
      <c r="C35" s="20"/>
      <c r="D35" s="20"/>
      <c r="E35" s="20"/>
      <c r="F35" s="20"/>
      <c r="G35" s="20"/>
      <c r="H35" s="20"/>
      <c r="I35" s="20"/>
    </row>
    <row r="36" spans="1:9" x14ac:dyDescent="0.25">
      <c r="A36" s="20"/>
      <c r="B36" s="20"/>
      <c r="C36" s="20"/>
      <c r="D36" s="20"/>
      <c r="E36" s="20"/>
      <c r="F36" s="20"/>
      <c r="G36" s="20"/>
      <c r="H36" s="20"/>
      <c r="I36" s="20"/>
    </row>
    <row r="37" spans="1:9" x14ac:dyDescent="0.25">
      <c r="A37" s="20"/>
      <c r="B37" s="20"/>
      <c r="C37" s="20"/>
      <c r="D37" s="20"/>
      <c r="E37" s="20"/>
      <c r="F37" s="20"/>
      <c r="G37" s="20"/>
      <c r="H37" s="20"/>
      <c r="I37" s="20"/>
    </row>
    <row r="38" spans="1:9" x14ac:dyDescent="0.25">
      <c r="A38" s="20"/>
      <c r="B38" s="20"/>
      <c r="C38" s="20"/>
      <c r="D38" s="20"/>
      <c r="E38" s="20"/>
      <c r="F38" s="20"/>
      <c r="G38" s="20"/>
      <c r="H38" s="20"/>
      <c r="I38" s="20"/>
    </row>
    <row r="39" spans="1:9" x14ac:dyDescent="0.25">
      <c r="A39" s="20"/>
      <c r="B39" s="20"/>
      <c r="C39" s="20"/>
      <c r="D39" s="20"/>
      <c r="E39" s="20"/>
      <c r="F39" s="20"/>
      <c r="G39" s="20"/>
      <c r="H39" s="20"/>
      <c r="I39" s="20"/>
    </row>
    <row r="40" spans="1:9" x14ac:dyDescent="0.25">
      <c r="A40" s="20"/>
      <c r="B40" s="20"/>
      <c r="C40" s="20"/>
      <c r="D40" s="20"/>
      <c r="E40" s="20"/>
      <c r="F40" s="20"/>
      <c r="G40" s="20"/>
      <c r="H40" s="20"/>
      <c r="I40" s="20"/>
    </row>
    <row r="41" spans="1:9" x14ac:dyDescent="0.25">
      <c r="A41" s="20"/>
      <c r="B41" s="20"/>
      <c r="C41" s="20"/>
      <c r="D41" s="20"/>
      <c r="E41" s="20"/>
      <c r="F41" s="20"/>
      <c r="G41" s="20"/>
      <c r="H41" s="20"/>
      <c r="I41" s="20"/>
    </row>
    <row r="42" spans="1:9" x14ac:dyDescent="0.25">
      <c r="A42" s="20"/>
      <c r="B42" s="20"/>
      <c r="C42" s="20"/>
      <c r="D42" s="20"/>
      <c r="E42" s="20"/>
      <c r="F42" s="20"/>
      <c r="G42" s="20"/>
      <c r="H42" s="20"/>
      <c r="I42" s="20"/>
    </row>
    <row r="43" spans="1:9" x14ac:dyDescent="0.25">
      <c r="A43" s="20"/>
      <c r="B43" s="20"/>
      <c r="C43" s="20"/>
      <c r="D43" s="20"/>
      <c r="E43" s="20"/>
      <c r="F43" s="20"/>
      <c r="G43" s="20"/>
      <c r="H43" s="20"/>
      <c r="I43" s="20"/>
    </row>
    <row r="44" spans="1:9" x14ac:dyDescent="0.25">
      <c r="A44" s="20"/>
      <c r="B44" s="20"/>
      <c r="C44" s="20"/>
      <c r="D44" s="20"/>
      <c r="E44" s="20"/>
      <c r="F44" s="20"/>
      <c r="G44" s="20"/>
      <c r="H44" s="20"/>
      <c r="I44" s="20"/>
    </row>
    <row r="45" spans="1:9" x14ac:dyDescent="0.25">
      <c r="A45" s="20"/>
      <c r="B45" s="20"/>
      <c r="C45" s="20"/>
      <c r="D45" s="20"/>
      <c r="E45" s="20"/>
      <c r="F45" s="20"/>
      <c r="G45" s="20"/>
      <c r="H45" s="20"/>
      <c r="I45" s="20"/>
    </row>
    <row r="46" spans="1:9" x14ac:dyDescent="0.25">
      <c r="A46" s="20"/>
      <c r="B46" s="20"/>
      <c r="C46" s="20"/>
      <c r="D46" s="20"/>
      <c r="E46" s="20"/>
      <c r="F46" s="20"/>
      <c r="G46" s="20"/>
      <c r="H46" s="20"/>
      <c r="I46" s="20"/>
    </row>
    <row r="47" spans="1:9" x14ac:dyDescent="0.25">
      <c r="A47" s="20"/>
      <c r="B47" s="20"/>
      <c r="C47" s="20"/>
      <c r="D47" s="20"/>
      <c r="E47" s="20"/>
      <c r="F47" s="20"/>
      <c r="G47" s="20"/>
      <c r="H47" s="20"/>
      <c r="I47" s="20"/>
    </row>
  </sheetData>
  <mergeCells count="8">
    <mergeCell ref="A19:I23"/>
    <mergeCell ref="A25:I26"/>
    <mergeCell ref="A28:I29"/>
    <mergeCell ref="A1:I1"/>
    <mergeCell ref="A2:I6"/>
    <mergeCell ref="A7:I9"/>
    <mergeCell ref="A11:I14"/>
    <mergeCell ref="A16:I1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C28"/>
  <sheetViews>
    <sheetView tabSelected="1" zoomScaleNormal="100" workbookViewId="0">
      <selection activeCell="A28" sqref="A28"/>
    </sheetView>
  </sheetViews>
  <sheetFormatPr defaultColWidth="8.85546875" defaultRowHeight="15" x14ac:dyDescent="0.25"/>
  <cols>
    <col min="1" max="4" width="8.85546875" style="6"/>
    <col min="5" max="5" width="1.140625" style="6" customWidth="1"/>
    <col min="6" max="9" width="8.28515625" style="6" customWidth="1"/>
    <col min="10" max="10" width="1.140625" style="6" customWidth="1"/>
    <col min="11" max="14" width="8.28515625" style="6" customWidth="1"/>
    <col min="15" max="15" width="1.140625" style="6" customWidth="1"/>
    <col min="16" max="19" width="8.28515625" style="6" customWidth="1"/>
    <col min="20" max="20" width="1.140625" style="6" customWidth="1"/>
    <col min="21" max="24" width="8.28515625" style="6" customWidth="1"/>
    <col min="25" max="25" width="1.140625" style="6" customWidth="1"/>
    <col min="26" max="29" width="8.28515625" style="6" customWidth="1"/>
    <col min="30" max="16384" width="8.85546875" style="6"/>
  </cols>
  <sheetData>
    <row r="1" spans="1:29" s="5" customFormat="1" ht="23.25" x14ac:dyDescent="0.35">
      <c r="A1" s="14" t="s">
        <v>59</v>
      </c>
      <c r="B1" s="14"/>
      <c r="C1" s="14"/>
      <c r="D1" s="14"/>
      <c r="F1" s="14" t="s">
        <v>60</v>
      </c>
      <c r="G1" s="14"/>
      <c r="H1" s="14"/>
      <c r="I1" s="14"/>
      <c r="K1" s="14" t="s">
        <v>61</v>
      </c>
      <c r="L1" s="14"/>
      <c r="M1" s="14"/>
      <c r="N1" s="14"/>
      <c r="P1" s="14" t="s">
        <v>62</v>
      </c>
      <c r="Q1" s="14"/>
      <c r="R1" s="14"/>
      <c r="S1" s="14"/>
      <c r="U1" s="14" t="s">
        <v>66</v>
      </c>
      <c r="V1" s="14"/>
      <c r="W1" s="14"/>
      <c r="X1" s="14"/>
      <c r="Z1" s="14" t="s">
        <v>67</v>
      </c>
      <c r="AA1" s="14"/>
      <c r="AB1" s="14"/>
      <c r="AC1" s="14"/>
    </row>
    <row r="2" spans="1:29" ht="29.45" customHeight="1" x14ac:dyDescent="0.25">
      <c r="A2" s="16" t="str">
        <f ca="1">VLOOKUP(Scavenge!$D$2,'Scavenge Deck'!$A$2:$B25,2,FALSE)</f>
        <v>Emerging Darkness</v>
      </c>
      <c r="B2" s="16"/>
      <c r="C2" s="16"/>
      <c r="D2" s="16"/>
      <c r="E2" s="11"/>
      <c r="F2" s="15" t="str">
        <f ca="1">VLOOKUP(LT!$D$2,'Loot Deck'!$A$2:$B21,2,FALSE)</f>
        <v>Gold Nuggets</v>
      </c>
      <c r="G2" s="15"/>
      <c r="H2" s="15"/>
      <c r="I2" s="15"/>
      <c r="J2" s="11"/>
      <c r="K2" s="15" t="str">
        <f ca="1">VLOOKUP(LT!$D$2,'LT Deck'!$A$2:$C21,2,FALSE)</f>
        <v>Slasher</v>
      </c>
      <c r="L2" s="15"/>
      <c r="M2" s="15"/>
      <c r="N2" s="15"/>
      <c r="O2" s="11"/>
      <c r="P2" s="15" t="str">
        <f ca="1">VLOOKUP(MT!$D$2,'MT Deck'!$A$2:$C21,2,FALSE)</f>
        <v>Low Threat Cards</v>
      </c>
      <c r="Q2" s="15"/>
      <c r="R2" s="15"/>
      <c r="S2" s="15"/>
      <c r="T2" s="11"/>
      <c r="U2" s="15" t="str">
        <f ca="1">VLOOKUP(HT!$D$2,'HT Deck'!$A$2:$C21,2,FALSE)</f>
        <v>6 Tentacles and 6 Hellbats</v>
      </c>
      <c r="V2" s="15"/>
      <c r="W2" s="15"/>
      <c r="X2" s="15"/>
      <c r="Y2" s="11"/>
      <c r="Z2" s="15" t="str">
        <f ca="1">VLOOKUP(ET!$D$2,'ET Deck'!$A$2:$C21,2,FALSE)</f>
        <v>Harbinger and Threat Card</v>
      </c>
      <c r="AA2" s="15"/>
      <c r="AB2" s="15"/>
      <c r="AC2" s="15"/>
    </row>
    <row r="3" spans="1:29" x14ac:dyDescent="0.25">
      <c r="A3" s="6">
        <f ca="1">MATCH(A2,PictureIndex!$A$2:$A$114,0)</f>
        <v>97</v>
      </c>
      <c r="B3" s="7"/>
      <c r="C3" s="7"/>
      <c r="D3" s="7"/>
      <c r="F3" s="6">
        <f ca="1">MATCH(F2,PictureIndex!$A$2:$A$114,0)</f>
        <v>45</v>
      </c>
      <c r="G3" s="8"/>
      <c r="H3" s="8"/>
      <c r="I3" s="8"/>
      <c r="K3" s="6">
        <f ca="1">MATCH(K2,PictureIndex!$A$2:$A$114,0)</f>
        <v>64</v>
      </c>
      <c r="L3" s="8"/>
      <c r="M3" s="8"/>
      <c r="N3" s="8"/>
      <c r="P3" s="6">
        <f ca="1">MATCH(P2,PictureIndex!$A$2:$A$114,0)</f>
        <v>78</v>
      </c>
      <c r="Q3" s="8"/>
      <c r="R3" s="8"/>
      <c r="S3" s="8"/>
      <c r="U3" s="6">
        <f ca="1">MATCH(U2,PictureIndex!$A$2:$A$114,0)</f>
        <v>30</v>
      </c>
      <c r="V3" s="8"/>
      <c r="W3" s="8"/>
      <c r="X3" s="8"/>
      <c r="Z3" s="6">
        <f ca="1">MATCH(Z2,PictureIndex!$A$2:$A$114,0)</f>
        <v>7</v>
      </c>
      <c r="AA3" s="8"/>
      <c r="AB3" s="8"/>
      <c r="AC3" s="8"/>
    </row>
    <row r="4" spans="1:29" x14ac:dyDescent="0.25">
      <c r="A4" s="13"/>
      <c r="B4" s="13"/>
      <c r="C4" s="13"/>
      <c r="D4" s="13"/>
      <c r="F4" s="17"/>
      <c r="G4" s="17"/>
      <c r="H4" s="17"/>
      <c r="I4" s="17"/>
      <c r="K4" s="17"/>
      <c r="L4" s="17"/>
      <c r="M4" s="17"/>
      <c r="N4" s="17"/>
      <c r="P4" s="17"/>
      <c r="Q4" s="17"/>
      <c r="R4" s="17"/>
      <c r="S4" s="17"/>
      <c r="U4" s="17"/>
      <c r="V4" s="17"/>
      <c r="W4" s="17"/>
      <c r="X4" s="17"/>
      <c r="Z4" s="17"/>
      <c r="AA4" s="17"/>
      <c r="AB4" s="17"/>
      <c r="AC4" s="17"/>
    </row>
    <row r="5" spans="1:29" x14ac:dyDescent="0.25">
      <c r="A5" s="13"/>
      <c r="B5" s="13"/>
      <c r="C5" s="13"/>
      <c r="D5" s="13"/>
      <c r="F5" s="17"/>
      <c r="G5" s="17"/>
      <c r="H5" s="17"/>
      <c r="I5" s="17"/>
      <c r="K5" s="17"/>
      <c r="L5" s="17"/>
      <c r="M5" s="17"/>
      <c r="N5" s="17"/>
      <c r="P5" s="17"/>
      <c r="Q5" s="17"/>
      <c r="R5" s="17"/>
      <c r="S5" s="17"/>
      <c r="U5" s="17"/>
      <c r="V5" s="17"/>
      <c r="W5" s="17"/>
      <c r="X5" s="17"/>
      <c r="Z5" s="17"/>
      <c r="AA5" s="17"/>
      <c r="AB5" s="17"/>
      <c r="AC5" s="17"/>
    </row>
    <row r="6" spans="1:29" x14ac:dyDescent="0.25">
      <c r="A6" s="13"/>
      <c r="B6" s="13"/>
      <c r="C6" s="13"/>
      <c r="D6" s="13"/>
      <c r="F6" s="17"/>
      <c r="G6" s="17"/>
      <c r="H6" s="17"/>
      <c r="I6" s="17"/>
      <c r="K6" s="17"/>
      <c r="L6" s="17"/>
      <c r="M6" s="17"/>
      <c r="N6" s="17"/>
      <c r="P6" s="17"/>
      <c r="Q6" s="17"/>
      <c r="R6" s="17"/>
      <c r="S6" s="17"/>
      <c r="U6" s="17"/>
      <c r="V6" s="17"/>
      <c r="W6" s="17"/>
      <c r="X6" s="17"/>
      <c r="Z6" s="17"/>
      <c r="AA6" s="17"/>
      <c r="AB6" s="17"/>
      <c r="AC6" s="17"/>
    </row>
    <row r="7" spans="1:29" x14ac:dyDescent="0.25">
      <c r="A7" s="13"/>
      <c r="B7" s="13"/>
      <c r="C7" s="13"/>
      <c r="D7" s="13"/>
      <c r="F7" s="17"/>
      <c r="G7" s="17"/>
      <c r="H7" s="17"/>
      <c r="I7" s="17"/>
      <c r="K7" s="17"/>
      <c r="L7" s="17"/>
      <c r="M7" s="17"/>
      <c r="N7" s="17"/>
      <c r="P7" s="17"/>
      <c r="Q7" s="17"/>
      <c r="R7" s="17"/>
      <c r="S7" s="17"/>
      <c r="U7" s="17"/>
      <c r="V7" s="17"/>
      <c r="W7" s="17"/>
      <c r="X7" s="17"/>
      <c r="Z7" s="17"/>
      <c r="AA7" s="17"/>
      <c r="AB7" s="17"/>
      <c r="AC7" s="17"/>
    </row>
    <row r="8" spans="1:29" x14ac:dyDescent="0.25">
      <c r="A8" s="13"/>
      <c r="B8" s="13"/>
      <c r="C8" s="13"/>
      <c r="D8" s="13"/>
      <c r="F8" s="17"/>
      <c r="G8" s="17"/>
      <c r="H8" s="17"/>
      <c r="I8" s="17"/>
      <c r="K8" s="17"/>
      <c r="L8" s="17"/>
      <c r="M8" s="17"/>
      <c r="N8" s="17"/>
      <c r="P8" s="17"/>
      <c r="Q8" s="17"/>
      <c r="R8" s="17"/>
      <c r="S8" s="17"/>
      <c r="U8" s="17"/>
      <c r="V8" s="17"/>
      <c r="W8" s="17"/>
      <c r="X8" s="17"/>
      <c r="Z8" s="17"/>
      <c r="AA8" s="17"/>
      <c r="AB8" s="17"/>
      <c r="AC8" s="17"/>
    </row>
    <row r="9" spans="1:29" x14ac:dyDescent="0.25">
      <c r="A9" s="13"/>
      <c r="B9" s="13"/>
      <c r="C9" s="13"/>
      <c r="D9" s="13"/>
      <c r="F9" s="17"/>
      <c r="G9" s="17"/>
      <c r="H9" s="17"/>
      <c r="I9" s="17"/>
      <c r="K9" s="17"/>
      <c r="L9" s="17"/>
      <c r="M9" s="17"/>
      <c r="N9" s="17"/>
      <c r="P9" s="17"/>
      <c r="Q9" s="17"/>
      <c r="R9" s="17"/>
      <c r="S9" s="17"/>
      <c r="U9" s="17"/>
      <c r="V9" s="17"/>
      <c r="W9" s="17"/>
      <c r="X9" s="17"/>
      <c r="Z9" s="17"/>
      <c r="AA9" s="17"/>
      <c r="AB9" s="17"/>
      <c r="AC9" s="17"/>
    </row>
    <row r="10" spans="1:29" x14ac:dyDescent="0.25">
      <c r="A10" s="13"/>
      <c r="B10" s="13"/>
      <c r="C10" s="13"/>
      <c r="D10" s="13"/>
      <c r="F10" s="17"/>
      <c r="G10" s="17"/>
      <c r="H10" s="17"/>
      <c r="I10" s="17"/>
      <c r="K10" s="17"/>
      <c r="L10" s="17"/>
      <c r="M10" s="17"/>
      <c r="N10" s="17"/>
      <c r="P10" s="17"/>
      <c r="Q10" s="17"/>
      <c r="R10" s="17"/>
      <c r="S10" s="17"/>
      <c r="U10" s="17"/>
      <c r="V10" s="17"/>
      <c r="W10" s="17"/>
      <c r="X10" s="17"/>
      <c r="Z10" s="17"/>
      <c r="AA10" s="17"/>
      <c r="AB10" s="17"/>
      <c r="AC10" s="17"/>
    </row>
    <row r="11" spans="1:29" x14ac:dyDescent="0.25">
      <c r="A11" s="13"/>
      <c r="B11" s="13"/>
      <c r="C11" s="13"/>
      <c r="D11" s="13"/>
      <c r="F11" s="17"/>
      <c r="G11" s="17"/>
      <c r="H11" s="17"/>
      <c r="I11" s="17"/>
      <c r="K11" s="17"/>
      <c r="L11" s="17"/>
      <c r="M11" s="17"/>
      <c r="N11" s="17"/>
      <c r="P11" s="17"/>
      <c r="Q11" s="17"/>
      <c r="R11" s="17"/>
      <c r="S11" s="17"/>
      <c r="U11" s="17"/>
      <c r="V11" s="17"/>
      <c r="W11" s="17"/>
      <c r="X11" s="17"/>
      <c r="Z11" s="17"/>
      <c r="AA11" s="17"/>
      <c r="AB11" s="17"/>
      <c r="AC11" s="17"/>
    </row>
    <row r="12" spans="1:29" x14ac:dyDescent="0.25">
      <c r="A12" s="13"/>
      <c r="B12" s="13"/>
      <c r="C12" s="13"/>
      <c r="D12" s="13"/>
      <c r="F12" s="17"/>
      <c r="G12" s="17"/>
      <c r="H12" s="17"/>
      <c r="I12" s="17"/>
      <c r="K12" s="17"/>
      <c r="L12" s="17"/>
      <c r="M12" s="17"/>
      <c r="N12" s="17"/>
      <c r="P12" s="17"/>
      <c r="Q12" s="17"/>
      <c r="R12" s="17"/>
      <c r="S12" s="17"/>
      <c r="U12" s="17"/>
      <c r="V12" s="17"/>
      <c r="W12" s="17"/>
      <c r="X12" s="17"/>
      <c r="Z12" s="17"/>
      <c r="AA12" s="17"/>
      <c r="AB12" s="17"/>
      <c r="AC12" s="17"/>
    </row>
    <row r="13" spans="1:29" x14ac:dyDescent="0.25">
      <c r="A13" s="13"/>
      <c r="B13" s="13"/>
      <c r="C13" s="13"/>
      <c r="D13" s="13"/>
      <c r="F13" s="17"/>
      <c r="G13" s="17"/>
      <c r="H13" s="17"/>
      <c r="I13" s="17"/>
      <c r="K13" s="17"/>
      <c r="L13" s="17"/>
      <c r="M13" s="17"/>
      <c r="N13" s="17"/>
      <c r="P13" s="17"/>
      <c r="Q13" s="17"/>
      <c r="R13" s="17"/>
      <c r="S13" s="17"/>
      <c r="U13" s="17"/>
      <c r="V13" s="17"/>
      <c r="W13" s="17"/>
      <c r="X13" s="17"/>
      <c r="Z13" s="17"/>
      <c r="AA13" s="17"/>
      <c r="AB13" s="17"/>
      <c r="AC13" s="17"/>
    </row>
    <row r="14" spans="1:29" x14ac:dyDescent="0.25">
      <c r="A14" s="13"/>
      <c r="B14" s="13"/>
      <c r="C14" s="13"/>
      <c r="D14" s="13"/>
      <c r="F14" s="17"/>
      <c r="G14" s="17"/>
      <c r="H14" s="17"/>
      <c r="I14" s="17"/>
      <c r="K14" s="17"/>
      <c r="L14" s="17"/>
      <c r="M14" s="17"/>
      <c r="N14" s="17"/>
      <c r="P14" s="17"/>
      <c r="Q14" s="17"/>
      <c r="R14" s="17"/>
      <c r="S14" s="17"/>
      <c r="U14" s="17"/>
      <c r="V14" s="17"/>
      <c r="W14" s="17"/>
      <c r="X14" s="17"/>
      <c r="Z14" s="17"/>
      <c r="AA14" s="17"/>
      <c r="AB14" s="17"/>
      <c r="AC14" s="17"/>
    </row>
    <row r="15" spans="1:29" x14ac:dyDescent="0.25">
      <c r="A15" s="13"/>
      <c r="B15" s="13"/>
      <c r="C15" s="13"/>
      <c r="D15" s="13"/>
      <c r="F15" s="17"/>
      <c r="G15" s="17"/>
      <c r="H15" s="17"/>
      <c r="I15" s="17"/>
      <c r="K15" s="17"/>
      <c r="L15" s="17"/>
      <c r="M15" s="17"/>
      <c r="N15" s="17"/>
      <c r="P15" s="17"/>
      <c r="Q15" s="17"/>
      <c r="R15" s="17"/>
      <c r="S15" s="17"/>
      <c r="U15" s="17"/>
      <c r="V15" s="17"/>
      <c r="W15" s="17"/>
      <c r="X15" s="17"/>
      <c r="Z15" s="17"/>
      <c r="AA15" s="17"/>
      <c r="AB15" s="17"/>
      <c r="AC15" s="17"/>
    </row>
    <row r="16" spans="1:29" x14ac:dyDescent="0.25">
      <c r="A16" s="13"/>
      <c r="B16" s="13"/>
      <c r="C16" s="13"/>
      <c r="D16" s="13"/>
      <c r="F16" s="17"/>
      <c r="G16" s="17"/>
      <c r="H16" s="17"/>
      <c r="I16" s="17"/>
      <c r="K16" s="17"/>
      <c r="L16" s="17"/>
      <c r="M16" s="17"/>
      <c r="N16" s="17"/>
      <c r="P16" s="17"/>
      <c r="Q16" s="17"/>
      <c r="R16" s="17"/>
      <c r="S16" s="17"/>
      <c r="U16" s="17"/>
      <c r="V16" s="17"/>
      <c r="W16" s="17"/>
      <c r="X16" s="17"/>
      <c r="Z16" s="17"/>
      <c r="AA16" s="17"/>
      <c r="AB16" s="17"/>
      <c r="AC16" s="17"/>
    </row>
    <row r="17" spans="1:29" x14ac:dyDescent="0.25">
      <c r="A17" s="13"/>
      <c r="B17" s="13"/>
      <c r="C17" s="13"/>
      <c r="D17" s="13"/>
      <c r="F17" s="17"/>
      <c r="G17" s="17"/>
      <c r="H17" s="17"/>
      <c r="I17" s="17"/>
      <c r="K17" s="17"/>
      <c r="L17" s="17"/>
      <c r="M17" s="17"/>
      <c r="N17" s="17"/>
      <c r="P17" s="17"/>
      <c r="Q17" s="17"/>
      <c r="R17" s="17"/>
      <c r="S17" s="17"/>
      <c r="U17" s="17"/>
      <c r="V17" s="17"/>
      <c r="W17" s="17"/>
      <c r="X17" s="17"/>
      <c r="Z17" s="17"/>
      <c r="AA17" s="17"/>
      <c r="AB17" s="17"/>
      <c r="AC17" s="17"/>
    </row>
    <row r="18" spans="1:29" x14ac:dyDescent="0.25">
      <c r="A18" s="13"/>
      <c r="B18" s="13"/>
      <c r="C18" s="13"/>
      <c r="D18" s="13"/>
      <c r="F18" s="17"/>
      <c r="G18" s="17"/>
      <c r="H18" s="17"/>
      <c r="I18" s="17"/>
      <c r="K18" s="17"/>
      <c r="L18" s="17"/>
      <c r="M18" s="17"/>
      <c r="N18" s="17"/>
      <c r="P18" s="17"/>
      <c r="Q18" s="17"/>
      <c r="R18" s="17"/>
      <c r="S18" s="17"/>
      <c r="U18" s="17"/>
      <c r="V18" s="17"/>
      <c r="W18" s="17"/>
      <c r="X18" s="17"/>
      <c r="Z18" s="17"/>
      <c r="AA18" s="17"/>
      <c r="AB18" s="17"/>
      <c r="AC18" s="17"/>
    </row>
    <row r="19" spans="1:29" x14ac:dyDescent="0.25">
      <c r="A19" s="13"/>
      <c r="B19" s="13"/>
      <c r="C19" s="13"/>
      <c r="D19" s="13"/>
      <c r="F19" s="17"/>
      <c r="G19" s="17"/>
      <c r="H19" s="17"/>
      <c r="I19" s="17"/>
      <c r="K19" s="17"/>
      <c r="L19" s="17"/>
      <c r="M19" s="17"/>
      <c r="N19" s="17"/>
      <c r="P19" s="17"/>
      <c r="Q19" s="17"/>
      <c r="R19" s="17"/>
      <c r="S19" s="17"/>
      <c r="U19" s="17"/>
      <c r="V19" s="17"/>
      <c r="W19" s="17"/>
      <c r="X19" s="17"/>
      <c r="Z19" s="17"/>
      <c r="AA19" s="17"/>
      <c r="AB19" s="17"/>
      <c r="AC19" s="17"/>
    </row>
    <row r="20" spans="1:29" x14ac:dyDescent="0.25">
      <c r="A20" s="13"/>
      <c r="B20" s="13"/>
      <c r="C20" s="13"/>
      <c r="D20" s="13"/>
      <c r="F20" s="17"/>
      <c r="G20" s="17"/>
      <c r="H20" s="17"/>
      <c r="I20" s="17"/>
      <c r="K20" s="17"/>
      <c r="L20" s="17"/>
      <c r="M20" s="17"/>
      <c r="N20" s="17"/>
      <c r="P20" s="17"/>
      <c r="Q20" s="17"/>
      <c r="R20" s="17"/>
      <c r="S20" s="17"/>
      <c r="U20" s="17"/>
      <c r="V20" s="17"/>
      <c r="W20" s="17"/>
      <c r="X20" s="17"/>
      <c r="Z20" s="17"/>
      <c r="AA20" s="17"/>
      <c r="AB20" s="17"/>
      <c r="AC20" s="17"/>
    </row>
    <row r="21" spans="1:29" x14ac:dyDescent="0.25">
      <c r="A21" s="13"/>
      <c r="B21" s="13"/>
      <c r="C21" s="13"/>
      <c r="D21" s="13"/>
      <c r="F21" s="17"/>
      <c r="G21" s="17"/>
      <c r="H21" s="17"/>
      <c r="I21" s="17"/>
      <c r="K21" s="17"/>
      <c r="L21" s="17"/>
      <c r="M21" s="17"/>
      <c r="N21" s="17"/>
      <c r="P21" s="17"/>
      <c r="Q21" s="17"/>
      <c r="R21" s="17"/>
      <c r="S21" s="17"/>
      <c r="U21" s="17"/>
      <c r="V21" s="17"/>
      <c r="W21" s="17"/>
      <c r="X21" s="17"/>
      <c r="Z21" s="17"/>
      <c r="AA21" s="17"/>
      <c r="AB21" s="17"/>
      <c r="AC21" s="17"/>
    </row>
    <row r="22" spans="1:29" x14ac:dyDescent="0.25">
      <c r="I22" s="12" t="s">
        <v>4</v>
      </c>
      <c r="L22" s="9"/>
      <c r="M22" s="9"/>
      <c r="P22" s="10" t="s">
        <v>4</v>
      </c>
      <c r="S22" s="9"/>
      <c r="V22" s="9"/>
    </row>
    <row r="23" spans="1:29" x14ac:dyDescent="0.25">
      <c r="I23" s="9"/>
      <c r="L23" s="9"/>
      <c r="M23" s="9"/>
    </row>
    <row r="24" spans="1:29" x14ac:dyDescent="0.25">
      <c r="I24" s="9"/>
      <c r="L24" s="9"/>
      <c r="M24" s="9"/>
    </row>
    <row r="25" spans="1:29" x14ac:dyDescent="0.25">
      <c r="I25" s="9"/>
      <c r="L25" s="9"/>
      <c r="M25" s="9"/>
    </row>
    <row r="26" spans="1:29" x14ac:dyDescent="0.25">
      <c r="AB26" s="10" t="s">
        <v>4</v>
      </c>
    </row>
    <row r="28" spans="1:29" x14ac:dyDescent="0.25">
      <c r="N28" s="10" t="s">
        <v>4</v>
      </c>
      <c r="P28" s="10" t="s">
        <v>4</v>
      </c>
      <c r="AA28" s="10" t="s">
        <v>4</v>
      </c>
    </row>
  </sheetData>
  <mergeCells count="18">
    <mergeCell ref="P1:S1"/>
    <mergeCell ref="U1:X1"/>
    <mergeCell ref="A4:D21"/>
    <mergeCell ref="K1:N1"/>
    <mergeCell ref="F2:I2"/>
    <mergeCell ref="Z2:AC2"/>
    <mergeCell ref="A1:D1"/>
    <mergeCell ref="A2:D2"/>
    <mergeCell ref="Z1:AC1"/>
    <mergeCell ref="K2:N2"/>
    <mergeCell ref="P2:S2"/>
    <mergeCell ref="U2:X2"/>
    <mergeCell ref="F1:I1"/>
    <mergeCell ref="F4:I21"/>
    <mergeCell ref="P4:S21"/>
    <mergeCell ref="U4:X21"/>
    <mergeCell ref="Z4:AC21"/>
    <mergeCell ref="K4:N2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11" r:id="rId4" name="Button 151">
              <controlPr defaultSize="0" print="0" autoFill="0" autoPict="0" macro="[0]!SHUFFLE_ALL_DECKS">
                <anchor moveWithCells="1" sizeWithCells="1">
                  <from>
                    <xdr:col>0</xdr:col>
                    <xdr:colOff>133350</xdr:colOff>
                    <xdr:row>22</xdr:row>
                    <xdr:rowOff>123825</xdr:rowOff>
                  </from>
                  <to>
                    <xdr:col>29</xdr:col>
                    <xdr:colOff>0</xdr:colOff>
                    <xdr:row>26</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3"/>
  <sheetViews>
    <sheetView workbookViewId="0">
      <pane ySplit="1" topLeftCell="A2" activePane="bottomLeft" state="frozen"/>
      <selection pane="bottomLeft"/>
    </sheetView>
  </sheetViews>
  <sheetFormatPr defaultRowHeight="15" x14ac:dyDescent="0.25"/>
  <cols>
    <col min="2" max="2" width="9.140625" style="1"/>
    <col min="3" max="3" width="11.5703125" bestFit="1" customWidth="1"/>
  </cols>
  <sheetData>
    <row r="1" spans="1:9" x14ac:dyDescent="0.25">
      <c r="A1" s="1" t="s">
        <v>3</v>
      </c>
      <c r="B1" s="1" t="s">
        <v>0</v>
      </c>
      <c r="C1" s="1" t="s">
        <v>2</v>
      </c>
      <c r="D1" s="1" t="s">
        <v>1</v>
      </c>
      <c r="E1" s="3" t="s">
        <v>4</v>
      </c>
    </row>
    <row r="2" spans="1:9" x14ac:dyDescent="0.25">
      <c r="A2">
        <f ca="1">RAND()</f>
        <v>0.23498039425423689</v>
      </c>
      <c r="B2" s="1">
        <v>1</v>
      </c>
      <c r="C2" s="2">
        <f ca="1">LARGE($A$2:$A$55,B2)</f>
        <v>0.96436644620739842</v>
      </c>
      <c r="D2" s="1">
        <f ca="1">MATCH(C2,$A$2:$A$53,0)</f>
        <v>20</v>
      </c>
      <c r="E2" s="3"/>
    </row>
    <row r="3" spans="1:9" x14ac:dyDescent="0.25">
      <c r="A3">
        <f t="shared" ref="A3:A25" ca="1" si="0">RAND()</f>
        <v>3.8856938801855367E-2</v>
      </c>
      <c r="B3" s="1">
        <v>2</v>
      </c>
      <c r="C3" s="2">
        <f t="shared" ref="C3:C25" ca="1" si="1">LARGE($A$2:$A$55,B3)</f>
        <v>0.89982781620456653</v>
      </c>
      <c r="D3" s="1">
        <f t="shared" ref="D3:D25" ca="1" si="2">MATCH(C3,$A$2:$A$53,0)</f>
        <v>23</v>
      </c>
      <c r="F3" s="3" t="s">
        <v>4</v>
      </c>
    </row>
    <row r="4" spans="1:9" x14ac:dyDescent="0.25">
      <c r="A4">
        <f t="shared" ca="1" si="0"/>
        <v>0.73553254107394961</v>
      </c>
      <c r="B4" s="1">
        <v>3</v>
      </c>
      <c r="C4" s="2">
        <f t="shared" ca="1" si="1"/>
        <v>0.79389266938756786</v>
      </c>
      <c r="D4" s="1">
        <f t="shared" ca="1" si="2"/>
        <v>4</v>
      </c>
    </row>
    <row r="5" spans="1:9" x14ac:dyDescent="0.25">
      <c r="A5">
        <f t="shared" ca="1" si="0"/>
        <v>0.79389266938756786</v>
      </c>
      <c r="B5" s="1">
        <v>4</v>
      </c>
      <c r="C5" s="2">
        <f t="shared" ca="1" si="1"/>
        <v>0.7690397984401377</v>
      </c>
      <c r="D5" s="1">
        <f t="shared" ca="1" si="2"/>
        <v>12</v>
      </c>
      <c r="F5" s="3"/>
    </row>
    <row r="6" spans="1:9" x14ac:dyDescent="0.25">
      <c r="A6">
        <f t="shared" ca="1" si="0"/>
        <v>0.45913203395627822</v>
      </c>
      <c r="B6" s="1">
        <v>5</v>
      </c>
      <c r="C6" s="2">
        <f t="shared" ca="1" si="1"/>
        <v>0.73553254107394961</v>
      </c>
      <c r="D6" s="1">
        <f t="shared" ca="1" si="2"/>
        <v>3</v>
      </c>
      <c r="I6" s="3" t="s">
        <v>4</v>
      </c>
    </row>
    <row r="7" spans="1:9" x14ac:dyDescent="0.25">
      <c r="A7">
        <f t="shared" ca="1" si="0"/>
        <v>4.1994955707470361E-2</v>
      </c>
      <c r="B7" s="1">
        <v>6</v>
      </c>
      <c r="C7" s="2">
        <f t="shared" ca="1" si="1"/>
        <v>0.71388616676506</v>
      </c>
      <c r="D7" s="1">
        <f t="shared" ca="1" si="2"/>
        <v>10</v>
      </c>
    </row>
    <row r="8" spans="1:9" x14ac:dyDescent="0.25">
      <c r="A8">
        <f t="shared" ca="1" si="0"/>
        <v>0.37380678158890446</v>
      </c>
      <c r="B8" s="1">
        <v>7</v>
      </c>
      <c r="C8" s="2">
        <f t="shared" ca="1" si="1"/>
        <v>0.65097455862991849</v>
      </c>
      <c r="D8" s="1">
        <f t="shared" ca="1" si="2"/>
        <v>9</v>
      </c>
    </row>
    <row r="9" spans="1:9" x14ac:dyDescent="0.25">
      <c r="A9">
        <f t="shared" ca="1" si="0"/>
        <v>0.15900799080774164</v>
      </c>
      <c r="B9" s="1">
        <v>8</v>
      </c>
      <c r="C9" s="2">
        <f t="shared" ca="1" si="1"/>
        <v>0.61807049806866343</v>
      </c>
      <c r="D9" s="1">
        <f t="shared" ca="1" si="2"/>
        <v>16</v>
      </c>
    </row>
    <row r="10" spans="1:9" x14ac:dyDescent="0.25">
      <c r="A10">
        <f t="shared" ca="1" si="0"/>
        <v>0.65097455862991849</v>
      </c>
      <c r="B10" s="1">
        <v>9</v>
      </c>
      <c r="C10" s="2">
        <f t="shared" ca="1" si="1"/>
        <v>0.57603208936559558</v>
      </c>
      <c r="D10" s="1">
        <f t="shared" ca="1" si="2"/>
        <v>18</v>
      </c>
    </row>
    <row r="11" spans="1:9" x14ac:dyDescent="0.25">
      <c r="A11">
        <f t="shared" ca="1" si="0"/>
        <v>0.71388616676506</v>
      </c>
      <c r="B11" s="1">
        <v>10</v>
      </c>
      <c r="C11" s="2">
        <f t="shared" ca="1" si="1"/>
        <v>0.57225068021562409</v>
      </c>
      <c r="D11" s="1">
        <f t="shared" ca="1" si="2"/>
        <v>21</v>
      </c>
      <c r="G11" s="3" t="s">
        <v>4</v>
      </c>
    </row>
    <row r="12" spans="1:9" x14ac:dyDescent="0.25">
      <c r="A12">
        <f t="shared" ca="1" si="0"/>
        <v>0.10343389599804831</v>
      </c>
      <c r="B12" s="1">
        <v>11</v>
      </c>
      <c r="C12" s="2">
        <f t="shared" ca="1" si="1"/>
        <v>0.50748922540377528</v>
      </c>
      <c r="D12" s="1">
        <f t="shared" ca="1" si="2"/>
        <v>15</v>
      </c>
    </row>
    <row r="13" spans="1:9" x14ac:dyDescent="0.25">
      <c r="A13">
        <f t="shared" ca="1" si="0"/>
        <v>0.7690397984401377</v>
      </c>
      <c r="B13" s="1">
        <v>12</v>
      </c>
      <c r="C13" s="2">
        <f t="shared" ca="1" si="1"/>
        <v>0.45913203395627822</v>
      </c>
      <c r="D13" s="1">
        <f t="shared" ca="1" si="2"/>
        <v>5</v>
      </c>
    </row>
    <row r="14" spans="1:9" x14ac:dyDescent="0.25">
      <c r="A14">
        <f t="shared" ca="1" si="0"/>
        <v>0.38202127000106512</v>
      </c>
      <c r="B14" s="1">
        <v>13</v>
      </c>
      <c r="C14" s="2">
        <f t="shared" ca="1" si="1"/>
        <v>0.43783755246273726</v>
      </c>
      <c r="D14" s="1">
        <f t="shared" ca="1" si="2"/>
        <v>22</v>
      </c>
    </row>
    <row r="15" spans="1:9" x14ac:dyDescent="0.25">
      <c r="A15">
        <f t="shared" ca="1" si="0"/>
        <v>0.10642718045675348</v>
      </c>
      <c r="B15" s="1">
        <v>14</v>
      </c>
      <c r="C15" s="2">
        <f t="shared" ca="1" si="1"/>
        <v>0.42907157071742097</v>
      </c>
      <c r="D15" s="1">
        <f t="shared" ca="1" si="2"/>
        <v>17</v>
      </c>
    </row>
    <row r="16" spans="1:9" x14ac:dyDescent="0.25">
      <c r="A16">
        <f t="shared" ca="1" si="0"/>
        <v>0.50748922540377528</v>
      </c>
      <c r="B16" s="1">
        <v>15</v>
      </c>
      <c r="C16" s="2">
        <f t="shared" ca="1" si="1"/>
        <v>0.38202127000106512</v>
      </c>
      <c r="D16" s="1">
        <f t="shared" ca="1" si="2"/>
        <v>13</v>
      </c>
    </row>
    <row r="17" spans="1:4" x14ac:dyDescent="0.25">
      <c r="A17">
        <f t="shared" ca="1" si="0"/>
        <v>0.61807049806866343</v>
      </c>
      <c r="B17" s="1">
        <v>16</v>
      </c>
      <c r="C17" s="2">
        <f t="shared" ca="1" si="1"/>
        <v>0.37380678158890446</v>
      </c>
      <c r="D17" s="1">
        <f t="shared" ca="1" si="2"/>
        <v>7</v>
      </c>
    </row>
    <row r="18" spans="1:4" x14ac:dyDescent="0.25">
      <c r="A18">
        <f t="shared" ca="1" si="0"/>
        <v>0.42907157071742097</v>
      </c>
      <c r="B18" s="1">
        <v>17</v>
      </c>
      <c r="C18" s="2">
        <f t="shared" ca="1" si="1"/>
        <v>0.31663781676961766</v>
      </c>
      <c r="D18" s="1">
        <f t="shared" ca="1" si="2"/>
        <v>24</v>
      </c>
    </row>
    <row r="19" spans="1:4" x14ac:dyDescent="0.25">
      <c r="A19">
        <f t="shared" ca="1" si="0"/>
        <v>0.57603208936559558</v>
      </c>
      <c r="B19" s="1">
        <v>18</v>
      </c>
      <c r="C19" s="2">
        <f t="shared" ca="1" si="1"/>
        <v>0.24450798640157223</v>
      </c>
      <c r="D19" s="1">
        <f t="shared" ca="1" si="2"/>
        <v>19</v>
      </c>
    </row>
    <row r="20" spans="1:4" x14ac:dyDescent="0.25">
      <c r="A20">
        <f t="shared" ca="1" si="0"/>
        <v>0.24450798640157223</v>
      </c>
      <c r="B20" s="1">
        <v>19</v>
      </c>
      <c r="C20" s="2">
        <f t="shared" ca="1" si="1"/>
        <v>0.23498039425423689</v>
      </c>
      <c r="D20" s="1">
        <f t="shared" ca="1" si="2"/>
        <v>1</v>
      </c>
    </row>
    <row r="21" spans="1:4" x14ac:dyDescent="0.25">
      <c r="A21">
        <f t="shared" ca="1" si="0"/>
        <v>0.96436644620739842</v>
      </c>
      <c r="B21" s="1">
        <v>20</v>
      </c>
      <c r="C21" s="2">
        <f t="shared" ca="1" si="1"/>
        <v>0.15900799080774164</v>
      </c>
      <c r="D21" s="1">
        <f t="shared" ca="1" si="2"/>
        <v>8</v>
      </c>
    </row>
    <row r="22" spans="1:4" x14ac:dyDescent="0.25">
      <c r="A22">
        <f t="shared" ca="1" si="0"/>
        <v>0.57225068021562409</v>
      </c>
      <c r="B22" s="1">
        <v>21</v>
      </c>
      <c r="C22" s="2">
        <f t="shared" ca="1" si="1"/>
        <v>0.10642718045675348</v>
      </c>
      <c r="D22" s="1">
        <f t="shared" ca="1" si="2"/>
        <v>14</v>
      </c>
    </row>
    <row r="23" spans="1:4" x14ac:dyDescent="0.25">
      <c r="A23">
        <f t="shared" ca="1" si="0"/>
        <v>0.43783755246273726</v>
      </c>
      <c r="B23" s="1">
        <v>22</v>
      </c>
      <c r="C23" s="2">
        <f t="shared" ca="1" si="1"/>
        <v>0.10343389599804831</v>
      </c>
      <c r="D23" s="1">
        <f t="shared" ca="1" si="2"/>
        <v>11</v>
      </c>
    </row>
    <row r="24" spans="1:4" x14ac:dyDescent="0.25">
      <c r="A24">
        <f t="shared" ca="1" si="0"/>
        <v>0.89982781620456653</v>
      </c>
      <c r="B24" s="1">
        <v>23</v>
      </c>
      <c r="C24" s="2">
        <f t="shared" ca="1" si="1"/>
        <v>4.1994955707470361E-2</v>
      </c>
      <c r="D24" s="1">
        <f t="shared" ca="1" si="2"/>
        <v>6</v>
      </c>
    </row>
    <row r="25" spans="1:4" x14ac:dyDescent="0.25">
      <c r="A25">
        <f t="shared" ca="1" si="0"/>
        <v>0.31663781676961766</v>
      </c>
      <c r="B25" s="1">
        <v>24</v>
      </c>
      <c r="C25" s="2">
        <f t="shared" ca="1" si="1"/>
        <v>3.8856938801855367E-2</v>
      </c>
      <c r="D25" s="1">
        <f t="shared" ca="1" si="2"/>
        <v>2</v>
      </c>
    </row>
    <row r="26" spans="1:4" x14ac:dyDescent="0.25">
      <c r="C26" s="2"/>
      <c r="D26" s="1"/>
    </row>
    <row r="27" spans="1:4" x14ac:dyDescent="0.25">
      <c r="C27" s="2"/>
      <c r="D27" s="1"/>
    </row>
    <row r="28" spans="1:4" x14ac:dyDescent="0.25">
      <c r="C28" s="2"/>
      <c r="D28" s="1"/>
    </row>
    <row r="29" spans="1:4" x14ac:dyDescent="0.25">
      <c r="C29" s="2"/>
      <c r="D29" s="1"/>
    </row>
    <row r="30" spans="1:4" x14ac:dyDescent="0.25">
      <c r="C30" s="2"/>
      <c r="D30" s="1"/>
    </row>
    <row r="31" spans="1:4" x14ac:dyDescent="0.25">
      <c r="C31" s="2"/>
      <c r="D31" s="1"/>
    </row>
    <row r="32" spans="1: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53"/>
  <sheetViews>
    <sheetView workbookViewId="0">
      <pane ySplit="1" topLeftCell="A2" activePane="bottomLeft" state="frozen"/>
      <selection pane="bottomLeft"/>
    </sheetView>
  </sheetViews>
  <sheetFormatPr defaultRowHeight="15" x14ac:dyDescent="0.25"/>
  <cols>
    <col min="2" max="2" width="8.85546875" style="1"/>
    <col min="3" max="3" width="11.5703125" bestFit="1" customWidth="1"/>
  </cols>
  <sheetData>
    <row r="1" spans="1:9" x14ac:dyDescent="0.25">
      <c r="A1" s="1" t="s">
        <v>3</v>
      </c>
      <c r="B1" s="1" t="s">
        <v>0</v>
      </c>
      <c r="C1" s="1" t="s">
        <v>2</v>
      </c>
      <c r="D1" s="1" t="s">
        <v>1</v>
      </c>
      <c r="E1" s="3" t="s">
        <v>4</v>
      </c>
    </row>
    <row r="2" spans="1:9" x14ac:dyDescent="0.25">
      <c r="A2">
        <f ca="1">RAND()</f>
        <v>1.601208620289063E-2</v>
      </c>
      <c r="B2" s="1">
        <v>1</v>
      </c>
      <c r="C2" s="2">
        <f ca="1">LARGE($A$2:$A$55,B2)</f>
        <v>0.98730039748113163</v>
      </c>
      <c r="D2" s="1">
        <f ca="1">MATCH(C2,$A$2:$A$53,0)</f>
        <v>23</v>
      </c>
      <c r="E2" s="3"/>
    </row>
    <row r="3" spans="1:9" x14ac:dyDescent="0.25">
      <c r="A3">
        <f t="shared" ref="A3:A25" ca="1" si="0">RAND()</f>
        <v>0.42474842906834209</v>
      </c>
      <c r="B3" s="1">
        <v>2</v>
      </c>
      <c r="C3" s="2">
        <f t="shared" ref="C3:C25" ca="1" si="1">LARGE($A$2:$A$55,B3)</f>
        <v>0.96240706671867104</v>
      </c>
      <c r="D3" s="1">
        <f t="shared" ref="D3:D25" ca="1" si="2">MATCH(C3,$A$2:$A$53,0)</f>
        <v>5</v>
      </c>
      <c r="F3" s="3" t="s">
        <v>4</v>
      </c>
    </row>
    <row r="4" spans="1:9" x14ac:dyDescent="0.25">
      <c r="A4">
        <f t="shared" ca="1" si="0"/>
        <v>0.2942966681842013</v>
      </c>
      <c r="B4" s="1">
        <v>3</v>
      </c>
      <c r="C4" s="2">
        <f t="shared" ca="1" si="1"/>
        <v>0.89548850281051262</v>
      </c>
      <c r="D4" s="1">
        <f t="shared" ca="1" si="2"/>
        <v>15</v>
      </c>
    </row>
    <row r="5" spans="1:9" x14ac:dyDescent="0.25">
      <c r="A5">
        <f t="shared" ca="1" si="0"/>
        <v>0.53300153175931697</v>
      </c>
      <c r="B5" s="1">
        <v>4</v>
      </c>
      <c r="C5" s="2">
        <f t="shared" ca="1" si="1"/>
        <v>0.8299665232444694</v>
      </c>
      <c r="D5" s="1">
        <f t="shared" ca="1" si="2"/>
        <v>20</v>
      </c>
      <c r="F5" s="3" t="s">
        <v>4</v>
      </c>
      <c r="I5" s="3" t="s">
        <v>4</v>
      </c>
    </row>
    <row r="6" spans="1:9" x14ac:dyDescent="0.25">
      <c r="A6">
        <f t="shared" ca="1" si="0"/>
        <v>0.96240706671867104</v>
      </c>
      <c r="B6" s="1">
        <v>5</v>
      </c>
      <c r="C6" s="2">
        <f t="shared" ca="1" si="1"/>
        <v>0.79144432972786682</v>
      </c>
      <c r="D6" s="1">
        <f t="shared" ca="1" si="2"/>
        <v>8</v>
      </c>
      <c r="I6" s="3" t="s">
        <v>4</v>
      </c>
    </row>
    <row r="7" spans="1:9" x14ac:dyDescent="0.25">
      <c r="A7">
        <f t="shared" ca="1" si="0"/>
        <v>0.70909341825974515</v>
      </c>
      <c r="B7" s="1">
        <v>6</v>
      </c>
      <c r="C7" s="2">
        <f t="shared" ca="1" si="1"/>
        <v>0.70909341825974515</v>
      </c>
      <c r="D7" s="1">
        <f t="shared" ca="1" si="2"/>
        <v>6</v>
      </c>
    </row>
    <row r="8" spans="1:9" x14ac:dyDescent="0.25">
      <c r="A8">
        <f t="shared" ca="1" si="0"/>
        <v>0.65305777011310706</v>
      </c>
      <c r="B8" s="1">
        <v>7</v>
      </c>
      <c r="C8" s="2">
        <f t="shared" ca="1" si="1"/>
        <v>0.65468079721855987</v>
      </c>
      <c r="D8" s="1">
        <f t="shared" ca="1" si="2"/>
        <v>21</v>
      </c>
    </row>
    <row r="9" spans="1:9" x14ac:dyDescent="0.25">
      <c r="A9">
        <f t="shared" ca="1" si="0"/>
        <v>0.79144432972786682</v>
      </c>
      <c r="B9" s="1">
        <v>8</v>
      </c>
      <c r="C9" s="2">
        <f t="shared" ca="1" si="1"/>
        <v>0.65305777011310706</v>
      </c>
      <c r="D9" s="1">
        <f t="shared" ca="1" si="2"/>
        <v>7</v>
      </c>
    </row>
    <row r="10" spans="1:9" x14ac:dyDescent="0.25">
      <c r="A10">
        <f t="shared" ca="1" si="0"/>
        <v>0.56599432567314589</v>
      </c>
      <c r="B10" s="1">
        <v>9</v>
      </c>
      <c r="C10" s="2">
        <f t="shared" ca="1" si="1"/>
        <v>0.56599432567314589</v>
      </c>
      <c r="D10" s="1">
        <f t="shared" ca="1" si="2"/>
        <v>9</v>
      </c>
    </row>
    <row r="11" spans="1:9" x14ac:dyDescent="0.25">
      <c r="A11">
        <f t="shared" ca="1" si="0"/>
        <v>0.37935334875352666</v>
      </c>
      <c r="B11" s="1">
        <v>10</v>
      </c>
      <c r="C11" s="2">
        <f t="shared" ca="1" si="1"/>
        <v>0.55474302865978797</v>
      </c>
      <c r="D11" s="1">
        <f t="shared" ca="1" si="2"/>
        <v>18</v>
      </c>
      <c r="G11" s="3" t="s">
        <v>4</v>
      </c>
    </row>
    <row r="12" spans="1:9" x14ac:dyDescent="0.25">
      <c r="A12">
        <f t="shared" ca="1" si="0"/>
        <v>3.1181315639195573E-2</v>
      </c>
      <c r="B12" s="1">
        <v>11</v>
      </c>
      <c r="C12" s="2">
        <f t="shared" ca="1" si="1"/>
        <v>0.53575216015826799</v>
      </c>
      <c r="D12" s="1">
        <f t="shared" ca="1" si="2"/>
        <v>14</v>
      </c>
    </row>
    <row r="13" spans="1:9" x14ac:dyDescent="0.25">
      <c r="A13">
        <f t="shared" ca="1" si="0"/>
        <v>0.43352172889432949</v>
      </c>
      <c r="B13" s="1">
        <v>12</v>
      </c>
      <c r="C13" s="2">
        <f t="shared" ca="1" si="1"/>
        <v>0.53300153175931697</v>
      </c>
      <c r="D13" s="1">
        <f t="shared" ca="1" si="2"/>
        <v>4</v>
      </c>
    </row>
    <row r="14" spans="1:9" x14ac:dyDescent="0.25">
      <c r="A14">
        <f t="shared" ca="1" si="0"/>
        <v>0.39352298195655411</v>
      </c>
      <c r="B14" s="1">
        <v>13</v>
      </c>
      <c r="C14" s="2">
        <f t="shared" ca="1" si="1"/>
        <v>0.44157493010676019</v>
      </c>
      <c r="D14" s="1">
        <f t="shared" ca="1" si="2"/>
        <v>22</v>
      </c>
    </row>
    <row r="15" spans="1:9" x14ac:dyDescent="0.25">
      <c r="A15">
        <f t="shared" ca="1" si="0"/>
        <v>0.53575216015826799</v>
      </c>
      <c r="B15" s="1">
        <v>14</v>
      </c>
      <c r="C15" s="2">
        <f t="shared" ca="1" si="1"/>
        <v>0.43352172889432949</v>
      </c>
      <c r="D15" s="1">
        <f t="shared" ca="1" si="2"/>
        <v>12</v>
      </c>
    </row>
    <row r="16" spans="1:9" x14ac:dyDescent="0.25">
      <c r="A16">
        <f t="shared" ca="1" si="0"/>
        <v>0.89548850281051262</v>
      </c>
      <c r="B16" s="1">
        <v>15</v>
      </c>
      <c r="C16" s="2">
        <f t="shared" ca="1" si="1"/>
        <v>0.42474842906834209</v>
      </c>
      <c r="D16" s="1">
        <f t="shared" ca="1" si="2"/>
        <v>2</v>
      </c>
    </row>
    <row r="17" spans="1:4" x14ac:dyDescent="0.25">
      <c r="A17">
        <f t="shared" ca="1" si="0"/>
        <v>3.7419339117773731E-2</v>
      </c>
      <c r="B17" s="1">
        <v>16</v>
      </c>
      <c r="C17" s="2">
        <f t="shared" ca="1" si="1"/>
        <v>0.41671959834902972</v>
      </c>
      <c r="D17" s="1">
        <f t="shared" ca="1" si="2"/>
        <v>19</v>
      </c>
    </row>
    <row r="18" spans="1:4" x14ac:dyDescent="0.25">
      <c r="A18">
        <f t="shared" ca="1" si="0"/>
        <v>0.22731484114650069</v>
      </c>
      <c r="B18" s="1">
        <v>17</v>
      </c>
      <c r="C18" s="2">
        <f t="shared" ca="1" si="1"/>
        <v>0.39352298195655411</v>
      </c>
      <c r="D18" s="1">
        <f t="shared" ca="1" si="2"/>
        <v>13</v>
      </c>
    </row>
    <row r="19" spans="1:4" ht="14.45" customHeight="1" x14ac:dyDescent="0.25">
      <c r="A19">
        <f t="shared" ca="1" si="0"/>
        <v>0.55474302865978797</v>
      </c>
      <c r="B19" s="1">
        <v>18</v>
      </c>
      <c r="C19" s="2">
        <f t="shared" ca="1" si="1"/>
        <v>0.38198072666864835</v>
      </c>
      <c r="D19" s="1">
        <f t="shared" ca="1" si="2"/>
        <v>24</v>
      </c>
    </row>
    <row r="20" spans="1:4" x14ac:dyDescent="0.25">
      <c r="A20">
        <f t="shared" ca="1" si="0"/>
        <v>0.41671959834902972</v>
      </c>
      <c r="B20" s="1">
        <v>19</v>
      </c>
      <c r="C20" s="2">
        <f t="shared" ca="1" si="1"/>
        <v>0.37935334875352666</v>
      </c>
      <c r="D20" s="1">
        <f t="shared" ca="1" si="2"/>
        <v>10</v>
      </c>
    </row>
    <row r="21" spans="1:4" x14ac:dyDescent="0.25">
      <c r="A21">
        <f t="shared" ca="1" si="0"/>
        <v>0.8299665232444694</v>
      </c>
      <c r="B21" s="1">
        <v>20</v>
      </c>
      <c r="C21" s="2">
        <f t="shared" ca="1" si="1"/>
        <v>0.2942966681842013</v>
      </c>
      <c r="D21" s="1">
        <f t="shared" ca="1" si="2"/>
        <v>3</v>
      </c>
    </row>
    <row r="22" spans="1:4" x14ac:dyDescent="0.25">
      <c r="A22">
        <f t="shared" ca="1" si="0"/>
        <v>0.65468079721855987</v>
      </c>
      <c r="B22" s="1">
        <v>21</v>
      </c>
      <c r="C22" s="2">
        <f t="shared" ca="1" si="1"/>
        <v>0.22731484114650069</v>
      </c>
      <c r="D22" s="1">
        <f t="shared" ca="1" si="2"/>
        <v>17</v>
      </c>
    </row>
    <row r="23" spans="1:4" x14ac:dyDescent="0.25">
      <c r="A23">
        <f t="shared" ca="1" si="0"/>
        <v>0.44157493010676019</v>
      </c>
      <c r="B23" s="1">
        <v>22</v>
      </c>
      <c r="C23" s="2">
        <f t="shared" ca="1" si="1"/>
        <v>3.7419339117773731E-2</v>
      </c>
      <c r="D23" s="1">
        <f t="shared" ca="1" si="2"/>
        <v>16</v>
      </c>
    </row>
    <row r="24" spans="1:4" x14ac:dyDescent="0.25">
      <c r="A24">
        <f t="shared" ca="1" si="0"/>
        <v>0.98730039748113163</v>
      </c>
      <c r="B24" s="1">
        <v>23</v>
      </c>
      <c r="C24" s="2">
        <f t="shared" ca="1" si="1"/>
        <v>3.1181315639195573E-2</v>
      </c>
      <c r="D24" s="1">
        <f t="shared" ca="1" si="2"/>
        <v>11</v>
      </c>
    </row>
    <row r="25" spans="1:4" x14ac:dyDescent="0.25">
      <c r="A25">
        <f t="shared" ca="1" si="0"/>
        <v>0.38198072666864835</v>
      </c>
      <c r="B25" s="1">
        <v>24</v>
      </c>
      <c r="C25" s="2">
        <f t="shared" ca="1" si="1"/>
        <v>1.601208620289063E-2</v>
      </c>
      <c r="D25" s="1">
        <f t="shared" ca="1" si="2"/>
        <v>1</v>
      </c>
    </row>
    <row r="26" spans="1:4" x14ac:dyDescent="0.25">
      <c r="C26" s="2"/>
      <c r="D26" s="1"/>
    </row>
    <row r="27" spans="1:4" x14ac:dyDescent="0.25">
      <c r="C27" s="2"/>
      <c r="D27" s="1"/>
    </row>
    <row r="28" spans="1:4" x14ac:dyDescent="0.25">
      <c r="C28" s="2"/>
      <c r="D28" s="1"/>
    </row>
    <row r="29" spans="1:4" x14ac:dyDescent="0.25">
      <c r="C29" s="2"/>
      <c r="D29" s="1"/>
    </row>
    <row r="30" spans="1:4" x14ac:dyDescent="0.25">
      <c r="C30" s="2"/>
      <c r="D30" s="1"/>
    </row>
    <row r="31" spans="1:4" x14ac:dyDescent="0.25">
      <c r="C31" s="2"/>
      <c r="D31" s="1"/>
    </row>
    <row r="32" spans="1: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92D050"/>
  </sheetPr>
  <dimension ref="A1:I53"/>
  <sheetViews>
    <sheetView workbookViewId="0"/>
  </sheetViews>
  <sheetFormatPr defaultRowHeight="15" x14ac:dyDescent="0.25"/>
  <cols>
    <col min="2" max="2" width="8.85546875" style="1"/>
    <col min="3" max="3" width="11.5703125" bestFit="1" customWidth="1"/>
  </cols>
  <sheetData>
    <row r="1" spans="1:9" x14ac:dyDescent="0.25">
      <c r="A1" s="1" t="s">
        <v>3</v>
      </c>
      <c r="B1" s="1" t="s">
        <v>0</v>
      </c>
      <c r="C1" s="1" t="s">
        <v>2</v>
      </c>
      <c r="D1" s="1" t="s">
        <v>1</v>
      </c>
      <c r="E1" s="3" t="s">
        <v>4</v>
      </c>
    </row>
    <row r="2" spans="1:9" x14ac:dyDescent="0.25">
      <c r="A2">
        <f ca="1">RAND()</f>
        <v>0.49497363979391162</v>
      </c>
      <c r="B2" s="1">
        <v>1</v>
      </c>
      <c r="C2" s="2">
        <f ca="1">LARGE($A$2:$A$55,B2)</f>
        <v>0.94657869829596142</v>
      </c>
      <c r="D2" s="1">
        <f ca="1">MATCH(C2,$A$2:$A$53,0)</f>
        <v>10</v>
      </c>
      <c r="E2" s="3"/>
    </row>
    <row r="3" spans="1:9" x14ac:dyDescent="0.25">
      <c r="A3">
        <f t="shared" ref="A3:A20" ca="1" si="0">RAND()</f>
        <v>0.67196842466207962</v>
      </c>
      <c r="B3" s="1">
        <v>2</v>
      </c>
      <c r="C3" s="2">
        <f t="shared" ref="C3:C20" ca="1" si="1">LARGE($A$2:$A$55,B3)</f>
        <v>0.93618023894482916</v>
      </c>
      <c r="D3" s="1">
        <f t="shared" ref="D3:D20" ca="1" si="2">MATCH(C3,$A$2:$A$53,0)</f>
        <v>15</v>
      </c>
      <c r="F3" s="3" t="s">
        <v>4</v>
      </c>
    </row>
    <row r="4" spans="1:9" x14ac:dyDescent="0.25">
      <c r="A4">
        <f t="shared" ca="1" si="0"/>
        <v>0.20401259653670045</v>
      </c>
      <c r="B4" s="1">
        <v>3</v>
      </c>
      <c r="C4" s="2">
        <f t="shared" ca="1" si="1"/>
        <v>0.93359954213643537</v>
      </c>
      <c r="D4" s="1">
        <f t="shared" ca="1" si="2"/>
        <v>9</v>
      </c>
    </row>
    <row r="5" spans="1:9" x14ac:dyDescent="0.25">
      <c r="A5">
        <f t="shared" ca="1" si="0"/>
        <v>0.53451224911658912</v>
      </c>
      <c r="B5" s="1">
        <v>4</v>
      </c>
      <c r="C5" s="2">
        <f t="shared" ca="1" si="1"/>
        <v>0.92432310655246408</v>
      </c>
      <c r="D5" s="1">
        <f t="shared" ca="1" si="2"/>
        <v>14</v>
      </c>
      <c r="F5" s="3" t="s">
        <v>4</v>
      </c>
      <c r="I5" s="3" t="s">
        <v>4</v>
      </c>
    </row>
    <row r="6" spans="1:9" x14ac:dyDescent="0.25">
      <c r="A6">
        <f t="shared" ca="1" si="0"/>
        <v>0.53768674831104057</v>
      </c>
      <c r="B6" s="1">
        <v>5</v>
      </c>
      <c r="C6" s="2">
        <f t="shared" ca="1" si="1"/>
        <v>0.91534839475229635</v>
      </c>
      <c r="D6" s="1">
        <f t="shared" ca="1" si="2"/>
        <v>19</v>
      </c>
      <c r="I6" s="3" t="s">
        <v>4</v>
      </c>
    </row>
    <row r="7" spans="1:9" x14ac:dyDescent="0.25">
      <c r="A7">
        <f t="shared" ca="1" si="0"/>
        <v>0.25731479836011117</v>
      </c>
      <c r="B7" s="1">
        <v>6</v>
      </c>
      <c r="C7" s="2">
        <f t="shared" ca="1" si="1"/>
        <v>0.89061574060997184</v>
      </c>
      <c r="D7" s="1">
        <f t="shared" ca="1" si="2"/>
        <v>16</v>
      </c>
    </row>
    <row r="8" spans="1:9" x14ac:dyDescent="0.25">
      <c r="A8">
        <f t="shared" ca="1" si="0"/>
        <v>0.37493133340845464</v>
      </c>
      <c r="B8" s="1">
        <v>7</v>
      </c>
      <c r="C8" s="2">
        <f t="shared" ca="1" si="1"/>
        <v>0.7733901973113595</v>
      </c>
      <c r="D8" s="1">
        <f t="shared" ca="1" si="2"/>
        <v>18</v>
      </c>
    </row>
    <row r="9" spans="1:9" x14ac:dyDescent="0.25">
      <c r="A9">
        <f t="shared" ca="1" si="0"/>
        <v>0.57060567780874161</v>
      </c>
      <c r="B9" s="1">
        <v>8</v>
      </c>
      <c r="C9" s="2">
        <f t="shared" ca="1" si="1"/>
        <v>0.67196842466207962</v>
      </c>
      <c r="D9" s="1">
        <f t="shared" ca="1" si="2"/>
        <v>2</v>
      </c>
    </row>
    <row r="10" spans="1:9" x14ac:dyDescent="0.25">
      <c r="A10">
        <f t="shared" ca="1" si="0"/>
        <v>0.93359954213643537</v>
      </c>
      <c r="B10" s="1">
        <v>9</v>
      </c>
      <c r="C10" s="2">
        <f t="shared" ca="1" si="1"/>
        <v>0.57060567780874161</v>
      </c>
      <c r="D10" s="1">
        <f t="shared" ca="1" si="2"/>
        <v>8</v>
      </c>
    </row>
    <row r="11" spans="1:9" x14ac:dyDescent="0.25">
      <c r="A11">
        <f t="shared" ca="1" si="0"/>
        <v>0.94657869829596142</v>
      </c>
      <c r="B11" s="1">
        <v>10</v>
      </c>
      <c r="C11" s="2">
        <f t="shared" ca="1" si="1"/>
        <v>0.53768674831104057</v>
      </c>
      <c r="D11" s="1">
        <f t="shared" ca="1" si="2"/>
        <v>5</v>
      </c>
      <c r="G11" s="3" t="s">
        <v>4</v>
      </c>
    </row>
    <row r="12" spans="1:9" x14ac:dyDescent="0.25">
      <c r="A12">
        <f t="shared" ca="1" si="0"/>
        <v>0.24266622447024178</v>
      </c>
      <c r="B12" s="1">
        <v>11</v>
      </c>
      <c r="C12" s="2">
        <f t="shared" ca="1" si="1"/>
        <v>0.53451224911658912</v>
      </c>
      <c r="D12" s="1">
        <f t="shared" ca="1" si="2"/>
        <v>4</v>
      </c>
    </row>
    <row r="13" spans="1:9" x14ac:dyDescent="0.25">
      <c r="A13">
        <f t="shared" ca="1" si="0"/>
        <v>0.10229950768590512</v>
      </c>
      <c r="B13" s="1">
        <v>12</v>
      </c>
      <c r="C13" s="2">
        <f t="shared" ca="1" si="1"/>
        <v>0.49497363979391162</v>
      </c>
      <c r="D13" s="1">
        <f t="shared" ca="1" si="2"/>
        <v>1</v>
      </c>
    </row>
    <row r="14" spans="1:9" x14ac:dyDescent="0.25">
      <c r="A14">
        <f t="shared" ca="1" si="0"/>
        <v>0.30936756997742065</v>
      </c>
      <c r="B14" s="1">
        <v>13</v>
      </c>
      <c r="C14" s="2">
        <f t="shared" ca="1" si="1"/>
        <v>0.37493133340845464</v>
      </c>
      <c r="D14" s="1">
        <f t="shared" ca="1" si="2"/>
        <v>7</v>
      </c>
    </row>
    <row r="15" spans="1:9" x14ac:dyDescent="0.25">
      <c r="A15">
        <f t="shared" ca="1" si="0"/>
        <v>0.92432310655246408</v>
      </c>
      <c r="B15" s="1">
        <v>14</v>
      </c>
      <c r="C15" s="2">
        <f t="shared" ca="1" si="1"/>
        <v>0.30936756997742065</v>
      </c>
      <c r="D15" s="1">
        <f t="shared" ca="1" si="2"/>
        <v>13</v>
      </c>
    </row>
    <row r="16" spans="1:9" x14ac:dyDescent="0.25">
      <c r="A16">
        <f t="shared" ca="1" si="0"/>
        <v>0.93618023894482916</v>
      </c>
      <c r="B16" s="1">
        <v>15</v>
      </c>
      <c r="C16" s="2">
        <f t="shared" ca="1" si="1"/>
        <v>0.25731479836011117</v>
      </c>
      <c r="D16" s="1">
        <f t="shared" ca="1" si="2"/>
        <v>6</v>
      </c>
    </row>
    <row r="17" spans="1:4" x14ac:dyDescent="0.25">
      <c r="A17">
        <f t="shared" ca="1" si="0"/>
        <v>0.89061574060997184</v>
      </c>
      <c r="B17" s="1">
        <v>16</v>
      </c>
      <c r="C17" s="2">
        <f t="shared" ca="1" si="1"/>
        <v>0.24266622447024178</v>
      </c>
      <c r="D17" s="1">
        <f t="shared" ca="1" si="2"/>
        <v>11</v>
      </c>
    </row>
    <row r="18" spans="1:4" x14ac:dyDescent="0.25">
      <c r="A18">
        <f t="shared" ca="1" si="0"/>
        <v>0.14831635270531651</v>
      </c>
      <c r="B18" s="1">
        <v>17</v>
      </c>
      <c r="C18" s="2">
        <f t="shared" ca="1" si="1"/>
        <v>0.20401259653670045</v>
      </c>
      <c r="D18" s="1">
        <f t="shared" ca="1" si="2"/>
        <v>3</v>
      </c>
    </row>
    <row r="19" spans="1:4" x14ac:dyDescent="0.25">
      <c r="A19">
        <f t="shared" ca="1" si="0"/>
        <v>0.7733901973113595</v>
      </c>
      <c r="B19" s="1">
        <v>18</v>
      </c>
      <c r="C19" s="2">
        <f t="shared" ca="1" si="1"/>
        <v>0.14831635270531651</v>
      </c>
      <c r="D19" s="1">
        <f t="shared" ca="1" si="2"/>
        <v>17</v>
      </c>
    </row>
    <row r="20" spans="1:4" x14ac:dyDescent="0.25">
      <c r="A20">
        <f t="shared" ca="1" si="0"/>
        <v>0.91534839475229635</v>
      </c>
      <c r="B20" s="1">
        <v>19</v>
      </c>
      <c r="C20" s="2">
        <f t="shared" ca="1" si="1"/>
        <v>0.10229950768590512</v>
      </c>
      <c r="D20" s="1">
        <f t="shared" ca="1" si="2"/>
        <v>12</v>
      </c>
    </row>
    <row r="21" spans="1:4" x14ac:dyDescent="0.25">
      <c r="C21" s="2"/>
      <c r="D21" s="1"/>
    </row>
    <row r="22" spans="1:4" x14ac:dyDescent="0.25">
      <c r="C22" s="2"/>
      <c r="D22" s="1"/>
    </row>
    <row r="23" spans="1:4" x14ac:dyDescent="0.25">
      <c r="C23" s="2"/>
      <c r="D23" s="1"/>
    </row>
    <row r="24" spans="1:4" x14ac:dyDescent="0.25">
      <c r="C24" s="2"/>
      <c r="D24" s="1"/>
    </row>
    <row r="25" spans="1:4" x14ac:dyDescent="0.25">
      <c r="C25" s="2"/>
      <c r="D25" s="1"/>
    </row>
    <row r="26" spans="1:4" x14ac:dyDescent="0.25">
      <c r="C26" s="2"/>
      <c r="D26" s="1"/>
    </row>
    <row r="27" spans="1:4" x14ac:dyDescent="0.25">
      <c r="C27" s="2"/>
      <c r="D27" s="1"/>
    </row>
    <row r="28" spans="1:4" x14ac:dyDescent="0.25">
      <c r="C28" s="2"/>
      <c r="D28" s="1"/>
    </row>
    <row r="29" spans="1:4" x14ac:dyDescent="0.25">
      <c r="C29" s="2"/>
      <c r="D29" s="1"/>
    </row>
    <row r="30" spans="1:4" x14ac:dyDescent="0.25">
      <c r="C30" s="2"/>
      <c r="D30" s="1"/>
    </row>
    <row r="31" spans="1:4" x14ac:dyDescent="0.25">
      <c r="C31" s="2"/>
      <c r="D31" s="1"/>
    </row>
    <row r="32" spans="1: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39997558519241921"/>
  </sheetPr>
  <dimension ref="A1:I53"/>
  <sheetViews>
    <sheetView workbookViewId="0"/>
  </sheetViews>
  <sheetFormatPr defaultRowHeight="15" x14ac:dyDescent="0.25"/>
  <cols>
    <col min="2" max="2" width="8.85546875" style="1"/>
    <col min="3" max="3" width="11.5703125" bestFit="1" customWidth="1"/>
  </cols>
  <sheetData>
    <row r="1" spans="1:9" x14ac:dyDescent="0.25">
      <c r="A1" s="1" t="s">
        <v>3</v>
      </c>
      <c r="B1" s="1" t="s">
        <v>0</v>
      </c>
      <c r="C1" s="1" t="s">
        <v>2</v>
      </c>
      <c r="D1" s="1" t="s">
        <v>1</v>
      </c>
      <c r="E1" s="3" t="s">
        <v>4</v>
      </c>
    </row>
    <row r="2" spans="1:9" x14ac:dyDescent="0.25">
      <c r="A2">
        <f ca="1">RAND()</f>
        <v>0.36955644667878074</v>
      </c>
      <c r="B2" s="1">
        <v>1</v>
      </c>
      <c r="C2" s="2">
        <f ca="1">LARGE($A$2:$A$55,B2)</f>
        <v>0.96969392511359798</v>
      </c>
      <c r="D2" s="1">
        <f ca="1">MATCH(C2,$A$2:$A$53,0)</f>
        <v>19</v>
      </c>
      <c r="E2" s="3"/>
    </row>
    <row r="3" spans="1:9" x14ac:dyDescent="0.25">
      <c r="A3">
        <f t="shared" ref="A3:A20" ca="1" si="0">RAND()</f>
        <v>0.57734970093621507</v>
      </c>
      <c r="B3" s="1">
        <v>2</v>
      </c>
      <c r="C3" s="2">
        <f t="shared" ref="C3:C20" ca="1" si="1">LARGE($A$2:$A$55,B3)</f>
        <v>0.96804110165610324</v>
      </c>
      <c r="D3" s="1">
        <f t="shared" ref="D3:D20" ca="1" si="2">MATCH(C3,$A$2:$A$53,0)</f>
        <v>17</v>
      </c>
      <c r="F3" s="3" t="s">
        <v>4</v>
      </c>
    </row>
    <row r="4" spans="1:9" x14ac:dyDescent="0.25">
      <c r="A4">
        <f t="shared" ca="1" si="0"/>
        <v>0.25204093623461199</v>
      </c>
      <c r="B4" s="1">
        <v>3</v>
      </c>
      <c r="C4" s="2">
        <f t="shared" ca="1" si="1"/>
        <v>0.93659360327560981</v>
      </c>
      <c r="D4" s="1">
        <f t="shared" ca="1" si="2"/>
        <v>11</v>
      </c>
    </row>
    <row r="5" spans="1:9" x14ac:dyDescent="0.25">
      <c r="A5">
        <f t="shared" ca="1" si="0"/>
        <v>0.63031063777797236</v>
      </c>
      <c r="B5" s="1">
        <v>4</v>
      </c>
      <c r="C5" s="2">
        <f t="shared" ca="1" si="1"/>
        <v>0.81725577263196147</v>
      </c>
      <c r="D5" s="1">
        <f t="shared" ca="1" si="2"/>
        <v>18</v>
      </c>
      <c r="F5" s="3" t="s">
        <v>4</v>
      </c>
      <c r="I5" s="3" t="s">
        <v>4</v>
      </c>
    </row>
    <row r="6" spans="1:9" x14ac:dyDescent="0.25">
      <c r="A6">
        <f t="shared" ca="1" si="0"/>
        <v>0.20665509933148174</v>
      </c>
      <c r="B6" s="1">
        <v>5</v>
      </c>
      <c r="C6" s="2">
        <f t="shared" ca="1" si="1"/>
        <v>0.74350027909886429</v>
      </c>
      <c r="D6" s="1">
        <f t="shared" ca="1" si="2"/>
        <v>6</v>
      </c>
      <c r="I6" s="3" t="s">
        <v>4</v>
      </c>
    </row>
    <row r="7" spans="1:9" x14ac:dyDescent="0.25">
      <c r="A7">
        <f t="shared" ca="1" si="0"/>
        <v>0.74350027909886429</v>
      </c>
      <c r="B7" s="1">
        <v>6</v>
      </c>
      <c r="C7" s="2">
        <f t="shared" ca="1" si="1"/>
        <v>0.74339254654412623</v>
      </c>
      <c r="D7" s="1">
        <f t="shared" ca="1" si="2"/>
        <v>10</v>
      </c>
    </row>
    <row r="8" spans="1:9" x14ac:dyDescent="0.25">
      <c r="A8">
        <f t="shared" ca="1" si="0"/>
        <v>0.15891779876766154</v>
      </c>
      <c r="B8" s="1">
        <v>7</v>
      </c>
      <c r="C8" s="2">
        <f t="shared" ca="1" si="1"/>
        <v>0.67831789913093876</v>
      </c>
      <c r="D8" s="1">
        <f t="shared" ca="1" si="2"/>
        <v>13</v>
      </c>
    </row>
    <row r="9" spans="1:9" x14ac:dyDescent="0.25">
      <c r="A9">
        <f t="shared" ca="1" si="0"/>
        <v>0.47761031388091535</v>
      </c>
      <c r="B9" s="1">
        <v>8</v>
      </c>
      <c r="C9" s="2">
        <f t="shared" ca="1" si="1"/>
        <v>0.63031063777797236</v>
      </c>
      <c r="D9" s="1">
        <f t="shared" ca="1" si="2"/>
        <v>4</v>
      </c>
    </row>
    <row r="10" spans="1:9" x14ac:dyDescent="0.25">
      <c r="A10">
        <f t="shared" ca="1" si="0"/>
        <v>0.4071810747601623</v>
      </c>
      <c r="B10" s="1">
        <v>9</v>
      </c>
      <c r="C10" s="2">
        <f t="shared" ca="1" si="1"/>
        <v>0.57734970093621507</v>
      </c>
      <c r="D10" s="1">
        <f t="shared" ca="1" si="2"/>
        <v>2</v>
      </c>
    </row>
    <row r="11" spans="1:9" x14ac:dyDescent="0.25">
      <c r="A11">
        <f t="shared" ca="1" si="0"/>
        <v>0.74339254654412623</v>
      </c>
      <c r="B11" s="1">
        <v>10</v>
      </c>
      <c r="C11" s="2">
        <f t="shared" ca="1" si="1"/>
        <v>0.54927303048702947</v>
      </c>
      <c r="D11" s="1">
        <f t="shared" ca="1" si="2"/>
        <v>12</v>
      </c>
      <c r="G11" s="3" t="s">
        <v>4</v>
      </c>
    </row>
    <row r="12" spans="1:9" x14ac:dyDescent="0.25">
      <c r="A12">
        <f t="shared" ca="1" si="0"/>
        <v>0.93659360327560981</v>
      </c>
      <c r="B12" s="1">
        <v>11</v>
      </c>
      <c r="C12" s="2">
        <f t="shared" ca="1" si="1"/>
        <v>0.52105127160057074</v>
      </c>
      <c r="D12" s="1">
        <f t="shared" ca="1" si="2"/>
        <v>16</v>
      </c>
    </row>
    <row r="13" spans="1:9" x14ac:dyDescent="0.25">
      <c r="A13">
        <f t="shared" ca="1" si="0"/>
        <v>0.54927303048702947</v>
      </c>
      <c r="B13" s="1">
        <v>12</v>
      </c>
      <c r="C13" s="2">
        <f t="shared" ca="1" si="1"/>
        <v>0.47761031388091535</v>
      </c>
      <c r="D13" s="1">
        <f t="shared" ca="1" si="2"/>
        <v>8</v>
      </c>
    </row>
    <row r="14" spans="1:9" x14ac:dyDescent="0.25">
      <c r="A14">
        <f t="shared" ca="1" si="0"/>
        <v>0.67831789913093876</v>
      </c>
      <c r="B14" s="1">
        <v>13</v>
      </c>
      <c r="C14" s="2">
        <f t="shared" ca="1" si="1"/>
        <v>0.4071810747601623</v>
      </c>
      <c r="D14" s="1">
        <f t="shared" ca="1" si="2"/>
        <v>9</v>
      </c>
    </row>
    <row r="15" spans="1:9" x14ac:dyDescent="0.25">
      <c r="A15">
        <f t="shared" ca="1" si="0"/>
        <v>0.25243539610564703</v>
      </c>
      <c r="B15" s="1">
        <v>14</v>
      </c>
      <c r="C15" s="2">
        <f t="shared" ca="1" si="1"/>
        <v>0.36955644667878074</v>
      </c>
      <c r="D15" s="1">
        <f t="shared" ca="1" si="2"/>
        <v>1</v>
      </c>
    </row>
    <row r="16" spans="1:9" x14ac:dyDescent="0.25">
      <c r="A16">
        <f t="shared" ca="1" si="0"/>
        <v>0.23847456434461345</v>
      </c>
      <c r="B16" s="1">
        <v>15</v>
      </c>
      <c r="C16" s="2">
        <f t="shared" ca="1" si="1"/>
        <v>0.25243539610564703</v>
      </c>
      <c r="D16" s="1">
        <f t="shared" ca="1" si="2"/>
        <v>14</v>
      </c>
    </row>
    <row r="17" spans="1:4" x14ac:dyDescent="0.25">
      <c r="A17">
        <f t="shared" ca="1" si="0"/>
        <v>0.52105127160057074</v>
      </c>
      <c r="B17" s="1">
        <v>16</v>
      </c>
      <c r="C17" s="2">
        <f t="shared" ca="1" si="1"/>
        <v>0.25204093623461199</v>
      </c>
      <c r="D17" s="1">
        <f t="shared" ca="1" si="2"/>
        <v>3</v>
      </c>
    </row>
    <row r="18" spans="1:4" x14ac:dyDescent="0.25">
      <c r="A18">
        <f t="shared" ca="1" si="0"/>
        <v>0.96804110165610324</v>
      </c>
      <c r="B18" s="1">
        <v>17</v>
      </c>
      <c r="C18" s="2">
        <f t="shared" ca="1" si="1"/>
        <v>0.23847456434461345</v>
      </c>
      <c r="D18" s="1">
        <f t="shared" ca="1" si="2"/>
        <v>15</v>
      </c>
    </row>
    <row r="19" spans="1:4" x14ac:dyDescent="0.25">
      <c r="A19">
        <f t="shared" ca="1" si="0"/>
        <v>0.81725577263196147</v>
      </c>
      <c r="B19" s="1">
        <v>18</v>
      </c>
      <c r="C19" s="2">
        <f t="shared" ca="1" si="1"/>
        <v>0.20665509933148174</v>
      </c>
      <c r="D19" s="1">
        <f t="shared" ca="1" si="2"/>
        <v>5</v>
      </c>
    </row>
    <row r="20" spans="1:4" x14ac:dyDescent="0.25">
      <c r="A20">
        <f t="shared" ca="1" si="0"/>
        <v>0.96969392511359798</v>
      </c>
      <c r="B20" s="1">
        <v>19</v>
      </c>
      <c r="C20" s="2">
        <f t="shared" ca="1" si="1"/>
        <v>0.15891779876766154</v>
      </c>
      <c r="D20" s="1">
        <f t="shared" ca="1" si="2"/>
        <v>7</v>
      </c>
    </row>
    <row r="21" spans="1:4" x14ac:dyDescent="0.25">
      <c r="C21" s="2"/>
      <c r="D21" s="1"/>
    </row>
    <row r="22" spans="1:4" x14ac:dyDescent="0.25">
      <c r="C22" s="2"/>
      <c r="D22" s="1"/>
    </row>
    <row r="23" spans="1:4" x14ac:dyDescent="0.25">
      <c r="C23" s="2"/>
      <c r="D23" s="1"/>
    </row>
    <row r="24" spans="1:4" x14ac:dyDescent="0.25">
      <c r="C24" s="2"/>
      <c r="D24" s="1"/>
    </row>
    <row r="25" spans="1:4" x14ac:dyDescent="0.25">
      <c r="C25" s="2"/>
      <c r="D25" s="1"/>
    </row>
    <row r="26" spans="1:4" x14ac:dyDescent="0.25">
      <c r="C26" s="2"/>
      <c r="D26" s="1"/>
    </row>
    <row r="27" spans="1:4" x14ac:dyDescent="0.25">
      <c r="C27" s="2"/>
      <c r="D27" s="1"/>
    </row>
    <row r="28" spans="1:4" x14ac:dyDescent="0.25">
      <c r="C28" s="2"/>
      <c r="D28" s="1"/>
    </row>
    <row r="29" spans="1:4" x14ac:dyDescent="0.25">
      <c r="C29" s="2"/>
      <c r="D29" s="1"/>
    </row>
    <row r="30" spans="1:4" x14ac:dyDescent="0.25">
      <c r="C30" s="2"/>
      <c r="D30" s="1"/>
    </row>
    <row r="31" spans="1:4" x14ac:dyDescent="0.25">
      <c r="C31" s="2"/>
      <c r="D31" s="1"/>
    </row>
    <row r="32" spans="1: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I53"/>
  <sheetViews>
    <sheetView workbookViewId="0"/>
  </sheetViews>
  <sheetFormatPr defaultRowHeight="15" x14ac:dyDescent="0.25"/>
  <cols>
    <col min="2" max="2" width="8.85546875" style="1"/>
    <col min="3" max="3" width="11.5703125" bestFit="1" customWidth="1"/>
  </cols>
  <sheetData>
    <row r="1" spans="1:9" x14ac:dyDescent="0.25">
      <c r="A1" s="1" t="s">
        <v>3</v>
      </c>
      <c r="B1" s="1" t="s">
        <v>0</v>
      </c>
      <c r="C1" s="1" t="s">
        <v>2</v>
      </c>
      <c r="D1" s="1" t="s">
        <v>1</v>
      </c>
      <c r="E1" s="3" t="s">
        <v>4</v>
      </c>
    </row>
    <row r="2" spans="1:9" x14ac:dyDescent="0.25">
      <c r="A2">
        <f ca="1">RAND()</f>
        <v>0.65580626048234503</v>
      </c>
      <c r="B2" s="1">
        <v>1</v>
      </c>
      <c r="C2" s="2">
        <f ca="1">LARGE($A$2:$A$55,B2)</f>
        <v>0.89650961034751586</v>
      </c>
      <c r="D2" s="1">
        <f ca="1">MATCH(C2,$A$2:$A$53,0)</f>
        <v>9</v>
      </c>
      <c r="E2" s="3"/>
    </row>
    <row r="3" spans="1:9" x14ac:dyDescent="0.25">
      <c r="A3">
        <f t="shared" ref="A3:A20" ca="1" si="0">RAND()</f>
        <v>0.49428223570019958</v>
      </c>
      <c r="B3" s="1">
        <v>2</v>
      </c>
      <c r="C3" s="2">
        <f t="shared" ref="C3:C20" ca="1" si="1">LARGE($A$2:$A$55,B3)</f>
        <v>0.86123355226992793</v>
      </c>
      <c r="D3" s="1">
        <f t="shared" ref="D3:D20" ca="1" si="2">MATCH(C3,$A$2:$A$53,0)</f>
        <v>19</v>
      </c>
      <c r="F3" s="3" t="s">
        <v>4</v>
      </c>
    </row>
    <row r="4" spans="1:9" x14ac:dyDescent="0.25">
      <c r="A4">
        <f t="shared" ca="1" si="0"/>
        <v>9.7863634374554476E-2</v>
      </c>
      <c r="B4" s="1">
        <v>3</v>
      </c>
      <c r="C4" s="2">
        <f t="shared" ca="1" si="1"/>
        <v>0.84573109722856432</v>
      </c>
      <c r="D4" s="1">
        <f t="shared" ca="1" si="2"/>
        <v>16</v>
      </c>
    </row>
    <row r="5" spans="1:9" x14ac:dyDescent="0.25">
      <c r="A5">
        <f t="shared" ca="1" si="0"/>
        <v>0.23427560152962157</v>
      </c>
      <c r="B5" s="1">
        <v>4</v>
      </c>
      <c r="C5" s="2">
        <f t="shared" ca="1" si="1"/>
        <v>0.84190720785241635</v>
      </c>
      <c r="D5" s="1">
        <f t="shared" ca="1" si="2"/>
        <v>7</v>
      </c>
      <c r="F5" s="3" t="s">
        <v>4</v>
      </c>
      <c r="I5" s="3" t="s">
        <v>4</v>
      </c>
    </row>
    <row r="6" spans="1:9" x14ac:dyDescent="0.25">
      <c r="A6">
        <f t="shared" ca="1" si="0"/>
        <v>7.8930972768053276E-2</v>
      </c>
      <c r="B6" s="1">
        <v>5</v>
      </c>
      <c r="C6" s="2">
        <f t="shared" ca="1" si="1"/>
        <v>0.77997007510262517</v>
      </c>
      <c r="D6" s="1">
        <f t="shared" ca="1" si="2"/>
        <v>10</v>
      </c>
      <c r="I6" s="3" t="s">
        <v>4</v>
      </c>
    </row>
    <row r="7" spans="1:9" x14ac:dyDescent="0.25">
      <c r="A7">
        <f t="shared" ca="1" si="0"/>
        <v>0.51338641386141737</v>
      </c>
      <c r="B7" s="1">
        <v>6</v>
      </c>
      <c r="C7" s="2">
        <f t="shared" ca="1" si="1"/>
        <v>0.73304523333424454</v>
      </c>
      <c r="D7" s="1">
        <f t="shared" ca="1" si="2"/>
        <v>11</v>
      </c>
    </row>
    <row r="8" spans="1:9" x14ac:dyDescent="0.25">
      <c r="A8">
        <f t="shared" ca="1" si="0"/>
        <v>0.84190720785241635</v>
      </c>
      <c r="B8" s="1">
        <v>7</v>
      </c>
      <c r="C8" s="2">
        <f t="shared" ca="1" si="1"/>
        <v>0.65580626048234503</v>
      </c>
      <c r="D8" s="1">
        <f t="shared" ca="1" si="2"/>
        <v>1</v>
      </c>
    </row>
    <row r="9" spans="1:9" x14ac:dyDescent="0.25">
      <c r="A9">
        <f t="shared" ca="1" si="0"/>
        <v>2.086495773767516E-3</v>
      </c>
      <c r="B9" s="1">
        <v>8</v>
      </c>
      <c r="C9" s="2">
        <f t="shared" ca="1" si="1"/>
        <v>0.55883462952168816</v>
      </c>
      <c r="D9" s="1">
        <f t="shared" ca="1" si="2"/>
        <v>12</v>
      </c>
    </row>
    <row r="10" spans="1:9" x14ac:dyDescent="0.25">
      <c r="A10">
        <f t="shared" ca="1" si="0"/>
        <v>0.89650961034751586</v>
      </c>
      <c r="B10" s="1">
        <v>9</v>
      </c>
      <c r="C10" s="2">
        <f t="shared" ca="1" si="1"/>
        <v>0.51338641386141737</v>
      </c>
      <c r="D10" s="1">
        <f t="shared" ca="1" si="2"/>
        <v>6</v>
      </c>
    </row>
    <row r="11" spans="1:9" x14ac:dyDescent="0.25">
      <c r="A11">
        <f t="shared" ca="1" si="0"/>
        <v>0.77997007510262517</v>
      </c>
      <c r="B11" s="1">
        <v>10</v>
      </c>
      <c r="C11" s="2">
        <f t="shared" ca="1" si="1"/>
        <v>0.49428223570019958</v>
      </c>
      <c r="D11" s="1">
        <f t="shared" ca="1" si="2"/>
        <v>2</v>
      </c>
      <c r="G11" s="3" t="s">
        <v>4</v>
      </c>
    </row>
    <row r="12" spans="1:9" x14ac:dyDescent="0.25">
      <c r="A12">
        <f t="shared" ca="1" si="0"/>
        <v>0.73304523333424454</v>
      </c>
      <c r="B12" s="1">
        <v>11</v>
      </c>
      <c r="C12" s="2">
        <f t="shared" ca="1" si="1"/>
        <v>0.39599160731595007</v>
      </c>
      <c r="D12" s="1">
        <f t="shared" ca="1" si="2"/>
        <v>14</v>
      </c>
    </row>
    <row r="13" spans="1:9" x14ac:dyDescent="0.25">
      <c r="A13">
        <f t="shared" ca="1" si="0"/>
        <v>0.55883462952168816</v>
      </c>
      <c r="B13" s="1">
        <v>12</v>
      </c>
      <c r="C13" s="2">
        <f t="shared" ca="1" si="1"/>
        <v>0.25376559263406373</v>
      </c>
      <c r="D13" s="1">
        <f t="shared" ca="1" si="2"/>
        <v>18</v>
      </c>
    </row>
    <row r="14" spans="1:9" x14ac:dyDescent="0.25">
      <c r="A14">
        <f t="shared" ca="1" si="0"/>
        <v>1.37505467883271E-2</v>
      </c>
      <c r="B14" s="1">
        <v>13</v>
      </c>
      <c r="C14" s="2">
        <f t="shared" ca="1" si="1"/>
        <v>0.23427560152962157</v>
      </c>
      <c r="D14" s="1">
        <f t="shared" ca="1" si="2"/>
        <v>4</v>
      </c>
    </row>
    <row r="15" spans="1:9" x14ac:dyDescent="0.25">
      <c r="A15">
        <f t="shared" ca="1" si="0"/>
        <v>0.39599160731595007</v>
      </c>
      <c r="B15" s="1">
        <v>14</v>
      </c>
      <c r="C15" s="2">
        <f t="shared" ca="1" si="1"/>
        <v>0.17581816896257496</v>
      </c>
      <c r="D15" s="1">
        <f t="shared" ca="1" si="2"/>
        <v>17</v>
      </c>
    </row>
    <row r="16" spans="1:9" x14ac:dyDescent="0.25">
      <c r="A16">
        <f t="shared" ca="1" si="0"/>
        <v>0.15389844785223927</v>
      </c>
      <c r="B16" s="1">
        <v>15</v>
      </c>
      <c r="C16" s="2">
        <f t="shared" ca="1" si="1"/>
        <v>0.15389844785223927</v>
      </c>
      <c r="D16" s="1">
        <f t="shared" ca="1" si="2"/>
        <v>15</v>
      </c>
    </row>
    <row r="17" spans="1:4" x14ac:dyDescent="0.25">
      <c r="A17">
        <f t="shared" ca="1" si="0"/>
        <v>0.84573109722856432</v>
      </c>
      <c r="B17" s="1">
        <v>16</v>
      </c>
      <c r="C17" s="2">
        <f t="shared" ca="1" si="1"/>
        <v>9.7863634374554476E-2</v>
      </c>
      <c r="D17" s="1">
        <f t="shared" ca="1" si="2"/>
        <v>3</v>
      </c>
    </row>
    <row r="18" spans="1:4" x14ac:dyDescent="0.25">
      <c r="A18">
        <f t="shared" ca="1" si="0"/>
        <v>0.17581816896257496</v>
      </c>
      <c r="B18" s="1">
        <v>17</v>
      </c>
      <c r="C18" s="2">
        <f t="shared" ca="1" si="1"/>
        <v>7.8930972768053276E-2</v>
      </c>
      <c r="D18" s="1">
        <f t="shared" ca="1" si="2"/>
        <v>5</v>
      </c>
    </row>
    <row r="19" spans="1:4" x14ac:dyDescent="0.25">
      <c r="A19">
        <f t="shared" ca="1" si="0"/>
        <v>0.25376559263406373</v>
      </c>
      <c r="B19" s="1">
        <v>18</v>
      </c>
      <c r="C19" s="2">
        <f t="shared" ca="1" si="1"/>
        <v>1.37505467883271E-2</v>
      </c>
      <c r="D19" s="1">
        <f t="shared" ca="1" si="2"/>
        <v>13</v>
      </c>
    </row>
    <row r="20" spans="1:4" x14ac:dyDescent="0.25">
      <c r="A20">
        <f t="shared" ca="1" si="0"/>
        <v>0.86123355226992793</v>
      </c>
      <c r="B20" s="1">
        <v>19</v>
      </c>
      <c r="C20" s="2">
        <f t="shared" ca="1" si="1"/>
        <v>2.086495773767516E-3</v>
      </c>
      <c r="D20" s="1">
        <f t="shared" ca="1" si="2"/>
        <v>8</v>
      </c>
    </row>
    <row r="21" spans="1:4" x14ac:dyDescent="0.25">
      <c r="C21" s="2"/>
      <c r="D21" s="1"/>
    </row>
    <row r="22" spans="1:4" x14ac:dyDescent="0.25">
      <c r="C22" s="2"/>
      <c r="D22" s="1"/>
    </row>
    <row r="23" spans="1:4" x14ac:dyDescent="0.25">
      <c r="C23" s="2"/>
      <c r="D23" s="1"/>
    </row>
    <row r="24" spans="1:4" x14ac:dyDescent="0.25">
      <c r="C24" s="2"/>
      <c r="D24" s="1"/>
    </row>
    <row r="25" spans="1:4" x14ac:dyDescent="0.25">
      <c r="C25" s="2"/>
      <c r="D25" s="1"/>
    </row>
    <row r="26" spans="1:4" x14ac:dyDescent="0.25">
      <c r="C26" s="2"/>
      <c r="D26" s="1"/>
    </row>
    <row r="27" spans="1:4" x14ac:dyDescent="0.25">
      <c r="C27" s="2"/>
      <c r="D27" s="1"/>
    </row>
    <row r="28" spans="1:4" x14ac:dyDescent="0.25">
      <c r="C28" s="2"/>
      <c r="D28" s="1"/>
    </row>
    <row r="29" spans="1:4" x14ac:dyDescent="0.25">
      <c r="C29" s="2"/>
      <c r="D29" s="1"/>
    </row>
    <row r="30" spans="1:4" x14ac:dyDescent="0.25">
      <c r="C30" s="2"/>
      <c r="D30" s="1"/>
    </row>
    <row r="31" spans="1:4" x14ac:dyDescent="0.25">
      <c r="C31" s="2"/>
      <c r="D31" s="1"/>
    </row>
    <row r="32" spans="1: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70C0"/>
  </sheetPr>
  <dimension ref="A1:I53"/>
  <sheetViews>
    <sheetView workbookViewId="0"/>
  </sheetViews>
  <sheetFormatPr defaultRowHeight="15" x14ac:dyDescent="0.25"/>
  <cols>
    <col min="2" max="2" width="8.85546875" style="1"/>
    <col min="3" max="3" width="11.5703125" bestFit="1" customWidth="1"/>
  </cols>
  <sheetData>
    <row r="1" spans="1:9" x14ac:dyDescent="0.25">
      <c r="A1" s="1" t="s">
        <v>3</v>
      </c>
      <c r="B1" s="1" t="s">
        <v>0</v>
      </c>
      <c r="C1" s="1" t="s">
        <v>2</v>
      </c>
      <c r="D1" s="1" t="s">
        <v>1</v>
      </c>
      <c r="E1" s="3" t="s">
        <v>4</v>
      </c>
    </row>
    <row r="2" spans="1:9" x14ac:dyDescent="0.25">
      <c r="A2">
        <f ca="1">RAND()</f>
        <v>0.50167484169913179</v>
      </c>
      <c r="B2" s="1">
        <v>1</v>
      </c>
      <c r="C2" s="2">
        <f ca="1">LARGE($A$2:$A$55,B2)</f>
        <v>0.69296192689265945</v>
      </c>
      <c r="D2" s="1">
        <f ca="1">MATCH(C2,$A$2:$A$53,0)</f>
        <v>9</v>
      </c>
      <c r="E2" s="3"/>
    </row>
    <row r="3" spans="1:9" x14ac:dyDescent="0.25">
      <c r="A3">
        <f t="shared" ref="A3:A11" ca="1" si="0">RAND()</f>
        <v>0.15503993891390311</v>
      </c>
      <c r="B3" s="1">
        <v>2</v>
      </c>
      <c r="C3" s="2">
        <f t="shared" ref="C3:C11" ca="1" si="1">LARGE($A$2:$A$55,B3)</f>
        <v>0.65101841241292147</v>
      </c>
      <c r="D3" s="1">
        <f t="shared" ref="D3:D11" ca="1" si="2">MATCH(C3,$A$2:$A$53,0)</f>
        <v>6</v>
      </c>
      <c r="F3" s="3" t="s">
        <v>4</v>
      </c>
    </row>
    <row r="4" spans="1:9" x14ac:dyDescent="0.25">
      <c r="A4">
        <f t="shared" ca="1" si="0"/>
        <v>0.6332494790869363</v>
      </c>
      <c r="B4" s="1">
        <v>3</v>
      </c>
      <c r="C4" s="2">
        <f t="shared" ca="1" si="1"/>
        <v>0.6332494790869363</v>
      </c>
      <c r="D4" s="1">
        <f t="shared" ca="1" si="2"/>
        <v>3</v>
      </c>
    </row>
    <row r="5" spans="1:9" x14ac:dyDescent="0.25">
      <c r="A5">
        <f t="shared" ca="1" si="0"/>
        <v>0.29354118208195035</v>
      </c>
      <c r="B5" s="1">
        <v>4</v>
      </c>
      <c r="C5" s="2">
        <f t="shared" ca="1" si="1"/>
        <v>0.53904791931899099</v>
      </c>
      <c r="D5" s="1">
        <f t="shared" ca="1" si="2"/>
        <v>7</v>
      </c>
      <c r="F5" s="3" t="s">
        <v>4</v>
      </c>
      <c r="I5" s="3" t="s">
        <v>4</v>
      </c>
    </row>
    <row r="6" spans="1:9" x14ac:dyDescent="0.25">
      <c r="A6">
        <f t="shared" ca="1" si="0"/>
        <v>0.47317966599835848</v>
      </c>
      <c r="B6" s="1">
        <v>5</v>
      </c>
      <c r="C6" s="2">
        <f t="shared" ca="1" si="1"/>
        <v>0.50167484169913179</v>
      </c>
      <c r="D6" s="1">
        <f t="shared" ca="1" si="2"/>
        <v>1</v>
      </c>
      <c r="I6" s="3" t="s">
        <v>4</v>
      </c>
    </row>
    <row r="7" spans="1:9" x14ac:dyDescent="0.25">
      <c r="A7">
        <f t="shared" ca="1" si="0"/>
        <v>0.65101841241292147</v>
      </c>
      <c r="B7" s="1">
        <v>6</v>
      </c>
      <c r="C7" s="2">
        <f t="shared" ca="1" si="1"/>
        <v>0.47317966599835848</v>
      </c>
      <c r="D7" s="1">
        <f t="shared" ca="1" si="2"/>
        <v>5</v>
      </c>
    </row>
    <row r="8" spans="1:9" x14ac:dyDescent="0.25">
      <c r="A8">
        <f t="shared" ca="1" si="0"/>
        <v>0.53904791931899099</v>
      </c>
      <c r="B8" s="1">
        <v>7</v>
      </c>
      <c r="C8" s="2">
        <f t="shared" ca="1" si="1"/>
        <v>0.31397275215471887</v>
      </c>
      <c r="D8" s="1">
        <f t="shared" ca="1" si="2"/>
        <v>10</v>
      </c>
    </row>
    <row r="9" spans="1:9" x14ac:dyDescent="0.25">
      <c r="A9">
        <f t="shared" ca="1" si="0"/>
        <v>0.23289763588947954</v>
      </c>
      <c r="B9" s="1">
        <v>8</v>
      </c>
      <c r="C9" s="2">
        <f t="shared" ca="1" si="1"/>
        <v>0.29354118208195035</v>
      </c>
      <c r="D9" s="1">
        <f t="shared" ca="1" si="2"/>
        <v>4</v>
      </c>
    </row>
    <row r="10" spans="1:9" x14ac:dyDescent="0.25">
      <c r="A10">
        <f t="shared" ca="1" si="0"/>
        <v>0.69296192689265945</v>
      </c>
      <c r="B10" s="1">
        <v>9</v>
      </c>
      <c r="C10" s="2">
        <f t="shared" ca="1" si="1"/>
        <v>0.23289763588947954</v>
      </c>
      <c r="D10" s="1">
        <f t="shared" ca="1" si="2"/>
        <v>8</v>
      </c>
    </row>
    <row r="11" spans="1:9" x14ac:dyDescent="0.25">
      <c r="A11">
        <f t="shared" ca="1" si="0"/>
        <v>0.31397275215471887</v>
      </c>
      <c r="B11" s="1">
        <v>10</v>
      </c>
      <c r="C11" s="2">
        <f t="shared" ca="1" si="1"/>
        <v>0.15503993891390311</v>
      </c>
      <c r="D11" s="1">
        <f t="shared" ca="1" si="2"/>
        <v>2</v>
      </c>
      <c r="G11" s="3" t="s">
        <v>4</v>
      </c>
    </row>
    <row r="12" spans="1:9" x14ac:dyDescent="0.25">
      <c r="C12" s="2"/>
      <c r="D12" s="1"/>
    </row>
    <row r="13" spans="1:9" x14ac:dyDescent="0.25">
      <c r="C13" s="2"/>
      <c r="D13" s="1"/>
    </row>
    <row r="14" spans="1:9" x14ac:dyDescent="0.25">
      <c r="C14" s="2"/>
      <c r="D14" s="1"/>
    </row>
    <row r="15" spans="1:9" x14ac:dyDescent="0.25">
      <c r="C15" s="2"/>
      <c r="D15" s="1"/>
    </row>
    <row r="16" spans="1:9" x14ac:dyDescent="0.25">
      <c r="C16" s="2"/>
      <c r="D16" s="1"/>
    </row>
    <row r="17" spans="3:4" x14ac:dyDescent="0.25">
      <c r="C17" s="2"/>
      <c r="D17" s="1"/>
    </row>
    <row r="18" spans="3:4" x14ac:dyDescent="0.25">
      <c r="C18" s="2"/>
      <c r="D18" s="1"/>
    </row>
    <row r="19" spans="3:4" x14ac:dyDescent="0.25">
      <c r="C19" s="2"/>
      <c r="D19" s="1"/>
    </row>
    <row r="20" spans="3:4" x14ac:dyDescent="0.25">
      <c r="C20" s="2"/>
      <c r="D20" s="1"/>
    </row>
    <row r="21" spans="3:4" x14ac:dyDescent="0.25">
      <c r="C21" s="2"/>
      <c r="D21" s="1"/>
    </row>
    <row r="22" spans="3:4" x14ac:dyDescent="0.25">
      <c r="C22" s="2"/>
      <c r="D22" s="1"/>
    </row>
    <row r="23" spans="3:4" x14ac:dyDescent="0.25">
      <c r="C23" s="2"/>
      <c r="D23" s="1"/>
    </row>
    <row r="24" spans="3:4" x14ac:dyDescent="0.25">
      <c r="C24" s="2"/>
      <c r="D24" s="1"/>
    </row>
    <row r="25" spans="3:4" x14ac:dyDescent="0.25">
      <c r="C25" s="2"/>
      <c r="D25" s="1"/>
    </row>
    <row r="26" spans="3:4" x14ac:dyDescent="0.25">
      <c r="C26" s="2"/>
      <c r="D26" s="1"/>
    </row>
    <row r="27" spans="3:4" x14ac:dyDescent="0.25">
      <c r="C27" s="2"/>
      <c r="D27" s="1"/>
    </row>
    <row r="28" spans="3:4" x14ac:dyDescent="0.25">
      <c r="C28" s="2"/>
      <c r="D28" s="1"/>
    </row>
    <row r="29" spans="3:4" x14ac:dyDescent="0.25">
      <c r="C29" s="2"/>
      <c r="D29" s="1"/>
    </row>
    <row r="30" spans="3:4" x14ac:dyDescent="0.25">
      <c r="C30" s="2"/>
      <c r="D30" s="1"/>
    </row>
    <row r="31" spans="3:4" x14ac:dyDescent="0.25">
      <c r="C31" s="2"/>
      <c r="D31" s="1"/>
    </row>
    <row r="32" spans="3:4" x14ac:dyDescent="0.25">
      <c r="C32" s="2"/>
      <c r="D32" s="1"/>
    </row>
    <row r="33" spans="3:4" x14ac:dyDescent="0.25">
      <c r="C33" s="2"/>
      <c r="D33" s="1"/>
    </row>
    <row r="34" spans="3:4" x14ac:dyDescent="0.25">
      <c r="C34" s="2"/>
      <c r="D34" s="1"/>
    </row>
    <row r="35" spans="3:4" x14ac:dyDescent="0.25">
      <c r="C35" s="2"/>
      <c r="D35" s="1"/>
    </row>
    <row r="36" spans="3:4" x14ac:dyDescent="0.25">
      <c r="C36" s="2"/>
      <c r="D36" s="1"/>
    </row>
    <row r="37" spans="3:4" x14ac:dyDescent="0.25">
      <c r="C37" s="2"/>
      <c r="D37" s="1"/>
    </row>
    <row r="38" spans="3:4" x14ac:dyDescent="0.25">
      <c r="C38" s="2"/>
      <c r="D38" s="1"/>
    </row>
    <row r="39" spans="3:4" x14ac:dyDescent="0.25">
      <c r="C39" s="2"/>
      <c r="D39" s="1"/>
    </row>
    <row r="40" spans="3:4" x14ac:dyDescent="0.25">
      <c r="C40" s="2"/>
      <c r="D40" s="1"/>
    </row>
    <row r="41" spans="3:4" x14ac:dyDescent="0.25">
      <c r="C41" s="2"/>
      <c r="D41" s="1"/>
    </row>
    <row r="42" spans="3:4" x14ac:dyDescent="0.25">
      <c r="C42" s="2"/>
      <c r="D42" s="1"/>
    </row>
    <row r="43" spans="3:4" x14ac:dyDescent="0.25">
      <c r="C43" s="2"/>
      <c r="D43" s="1"/>
    </row>
    <row r="44" spans="3:4" x14ac:dyDescent="0.25">
      <c r="C44" s="2"/>
      <c r="D44" s="1"/>
    </row>
    <row r="45" spans="3:4" x14ac:dyDescent="0.25">
      <c r="C45" s="2"/>
      <c r="D45" s="1"/>
    </row>
    <row r="46" spans="3:4" x14ac:dyDescent="0.25">
      <c r="C46" s="2"/>
      <c r="D46" s="1"/>
    </row>
    <row r="47" spans="3:4" x14ac:dyDescent="0.25">
      <c r="C47" s="2"/>
      <c r="D47" s="1"/>
    </row>
    <row r="48" spans="3:4" x14ac:dyDescent="0.25">
      <c r="C48" s="2"/>
      <c r="D48" s="1"/>
    </row>
    <row r="49" spans="3:4" x14ac:dyDescent="0.25">
      <c r="C49" s="2"/>
      <c r="D49" s="1"/>
    </row>
    <row r="50" spans="3:4" x14ac:dyDescent="0.25">
      <c r="C50" s="2"/>
      <c r="D50" s="1"/>
    </row>
    <row r="51" spans="3:4" x14ac:dyDescent="0.25">
      <c r="C51" s="2"/>
      <c r="D51" s="1"/>
    </row>
    <row r="52" spans="3:4" x14ac:dyDescent="0.25">
      <c r="C52" s="2"/>
      <c r="D52" s="1"/>
    </row>
    <row r="53" spans="3:4" x14ac:dyDescent="0.25">
      <c r="C53" s="2"/>
      <c r="D53" s="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249977111117893"/>
  </sheetPr>
  <dimension ref="A1:B25"/>
  <sheetViews>
    <sheetView workbookViewId="0">
      <pane ySplit="1" topLeftCell="A2" activePane="bottomLeft" state="frozen"/>
      <selection pane="bottomLeft"/>
    </sheetView>
  </sheetViews>
  <sheetFormatPr defaultRowHeight="15" x14ac:dyDescent="0.25"/>
  <cols>
    <col min="1" max="1" width="9.28515625" style="1" bestFit="1" customWidth="1"/>
    <col min="2" max="2" width="16.28515625" bestFit="1" customWidth="1"/>
  </cols>
  <sheetData>
    <row r="1" spans="1:2" x14ac:dyDescent="0.25">
      <c r="A1" s="1" t="s">
        <v>0</v>
      </c>
      <c r="B1" t="s">
        <v>5</v>
      </c>
    </row>
    <row r="2" spans="1:2" x14ac:dyDescent="0.25">
      <c r="A2" s="1">
        <v>1</v>
      </c>
      <c r="B2" t="s">
        <v>6</v>
      </c>
    </row>
    <row r="3" spans="1:2" x14ac:dyDescent="0.25">
      <c r="A3" s="1">
        <v>2</v>
      </c>
      <c r="B3" t="s">
        <v>6</v>
      </c>
    </row>
    <row r="4" spans="1:2" x14ac:dyDescent="0.25">
      <c r="A4" s="1">
        <v>3</v>
      </c>
      <c r="B4" t="s">
        <v>6</v>
      </c>
    </row>
    <row r="5" spans="1:2" x14ac:dyDescent="0.25">
      <c r="A5" s="1">
        <v>4</v>
      </c>
      <c r="B5" t="s">
        <v>6</v>
      </c>
    </row>
    <row r="6" spans="1:2" x14ac:dyDescent="0.25">
      <c r="A6" s="1">
        <v>5</v>
      </c>
      <c r="B6" t="s">
        <v>6</v>
      </c>
    </row>
    <row r="7" spans="1:2" x14ac:dyDescent="0.25">
      <c r="A7" s="1">
        <v>6</v>
      </c>
      <c r="B7" t="s">
        <v>6</v>
      </c>
    </row>
    <row r="8" spans="1:2" x14ac:dyDescent="0.25">
      <c r="A8" s="1">
        <v>7</v>
      </c>
      <c r="B8" t="s">
        <v>6</v>
      </c>
    </row>
    <row r="9" spans="1:2" x14ac:dyDescent="0.25">
      <c r="A9" s="1">
        <v>8</v>
      </c>
      <c r="B9" t="s">
        <v>6</v>
      </c>
    </row>
    <row r="10" spans="1:2" x14ac:dyDescent="0.25">
      <c r="A10" s="1">
        <v>9</v>
      </c>
      <c r="B10" t="s">
        <v>7</v>
      </c>
    </row>
    <row r="11" spans="1:2" x14ac:dyDescent="0.25">
      <c r="A11" s="1">
        <v>10</v>
      </c>
      <c r="B11" t="s">
        <v>7</v>
      </c>
    </row>
    <row r="12" spans="1:2" x14ac:dyDescent="0.25">
      <c r="A12" s="1">
        <v>11</v>
      </c>
      <c r="B12" t="s">
        <v>8</v>
      </c>
    </row>
    <row r="13" spans="1:2" x14ac:dyDescent="0.25">
      <c r="A13" s="1">
        <v>12</v>
      </c>
      <c r="B13" t="s">
        <v>8</v>
      </c>
    </row>
    <row r="14" spans="1:2" x14ac:dyDescent="0.25">
      <c r="A14" s="1">
        <v>13</v>
      </c>
      <c r="B14" t="s">
        <v>9</v>
      </c>
    </row>
    <row r="15" spans="1:2" x14ac:dyDescent="0.25">
      <c r="A15" s="1">
        <v>14</v>
      </c>
      <c r="B15" t="s">
        <v>9</v>
      </c>
    </row>
    <row r="16" spans="1:2" x14ac:dyDescent="0.25">
      <c r="A16" s="1">
        <v>15</v>
      </c>
      <c r="B16" t="s">
        <v>10</v>
      </c>
    </row>
    <row r="17" spans="1:2" x14ac:dyDescent="0.25">
      <c r="A17" s="1">
        <v>16</v>
      </c>
      <c r="B17" t="s">
        <v>10</v>
      </c>
    </row>
    <row r="18" spans="1:2" x14ac:dyDescent="0.25">
      <c r="A18" s="1">
        <v>17</v>
      </c>
      <c r="B18" t="s">
        <v>10</v>
      </c>
    </row>
    <row r="19" spans="1:2" x14ac:dyDescent="0.25">
      <c r="A19" s="1">
        <v>18</v>
      </c>
      <c r="B19" t="s">
        <v>10</v>
      </c>
    </row>
    <row r="20" spans="1:2" x14ac:dyDescent="0.25">
      <c r="A20" s="1">
        <v>19</v>
      </c>
      <c r="B20" t="s">
        <v>11</v>
      </c>
    </row>
    <row r="21" spans="1:2" x14ac:dyDescent="0.25">
      <c r="A21" s="1">
        <v>20</v>
      </c>
      <c r="B21" t="s">
        <v>11</v>
      </c>
    </row>
    <row r="22" spans="1:2" x14ac:dyDescent="0.25">
      <c r="A22" s="1">
        <v>21</v>
      </c>
      <c r="B22" t="s">
        <v>12</v>
      </c>
    </row>
    <row r="23" spans="1:2" x14ac:dyDescent="0.25">
      <c r="A23" s="1">
        <v>22</v>
      </c>
      <c r="B23" t="s">
        <v>12</v>
      </c>
    </row>
    <row r="24" spans="1:2" x14ac:dyDescent="0.25">
      <c r="A24" s="1">
        <v>23</v>
      </c>
      <c r="B24" t="s">
        <v>12</v>
      </c>
    </row>
    <row r="25" spans="1:2" x14ac:dyDescent="0.25">
      <c r="A25" s="1">
        <v>24</v>
      </c>
      <c r="B25" t="s">
        <v>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249977111117893"/>
  </sheetPr>
  <dimension ref="A1:B25"/>
  <sheetViews>
    <sheetView workbookViewId="0">
      <pane ySplit="1" topLeftCell="A2" activePane="bottomLeft" state="frozen"/>
      <selection activeCell="B1" sqref="B1"/>
      <selection pane="bottomLeft"/>
    </sheetView>
  </sheetViews>
  <sheetFormatPr defaultRowHeight="15" x14ac:dyDescent="0.25"/>
  <cols>
    <col min="1" max="1" width="9.28515625" style="1" bestFit="1" customWidth="1"/>
    <col min="2" max="2" width="23.28515625" bestFit="1" customWidth="1"/>
  </cols>
  <sheetData>
    <row r="1" spans="1:2" x14ac:dyDescent="0.25">
      <c r="A1" s="1" t="s">
        <v>0</v>
      </c>
      <c r="B1" t="s">
        <v>5</v>
      </c>
    </row>
    <row r="2" spans="1:2" x14ac:dyDescent="0.25">
      <c r="A2" s="1">
        <v>1</v>
      </c>
      <c r="B2" t="s">
        <v>13</v>
      </c>
    </row>
    <row r="3" spans="1:2" x14ac:dyDescent="0.25">
      <c r="A3" s="1">
        <v>2</v>
      </c>
      <c r="B3" t="s">
        <v>13</v>
      </c>
    </row>
    <row r="4" spans="1:2" x14ac:dyDescent="0.25">
      <c r="A4" s="1">
        <v>3</v>
      </c>
      <c r="B4" t="s">
        <v>14</v>
      </c>
    </row>
    <row r="5" spans="1:2" x14ac:dyDescent="0.25">
      <c r="A5" s="1">
        <v>4</v>
      </c>
      <c r="B5" t="s">
        <v>14</v>
      </c>
    </row>
    <row r="6" spans="1:2" x14ac:dyDescent="0.25">
      <c r="A6" s="1">
        <v>5</v>
      </c>
      <c r="B6" t="s">
        <v>15</v>
      </c>
    </row>
    <row r="7" spans="1:2" x14ac:dyDescent="0.25">
      <c r="A7" s="1">
        <v>6</v>
      </c>
      <c r="B7" t="s">
        <v>15</v>
      </c>
    </row>
    <row r="8" spans="1:2" x14ac:dyDescent="0.25">
      <c r="A8" s="1">
        <v>7</v>
      </c>
      <c r="B8" t="s">
        <v>16</v>
      </c>
    </row>
    <row r="9" spans="1:2" x14ac:dyDescent="0.25">
      <c r="A9" s="1">
        <v>8</v>
      </c>
      <c r="B9" t="s">
        <v>16</v>
      </c>
    </row>
    <row r="10" spans="1:2" x14ac:dyDescent="0.25">
      <c r="A10" s="1">
        <v>9</v>
      </c>
      <c r="B10" t="s">
        <v>17</v>
      </c>
    </row>
    <row r="11" spans="1:2" x14ac:dyDescent="0.25">
      <c r="A11" s="1">
        <v>10</v>
      </c>
      <c r="B11" t="s">
        <v>17</v>
      </c>
    </row>
    <row r="12" spans="1:2" x14ac:dyDescent="0.25">
      <c r="A12" s="1">
        <v>11</v>
      </c>
      <c r="B12" t="s">
        <v>18</v>
      </c>
    </row>
    <row r="13" spans="1:2" x14ac:dyDescent="0.25">
      <c r="A13" s="1">
        <v>12</v>
      </c>
      <c r="B13" t="s">
        <v>18</v>
      </c>
    </row>
    <row r="14" spans="1:2" x14ac:dyDescent="0.25">
      <c r="A14" s="1">
        <v>13</v>
      </c>
      <c r="B14" t="s">
        <v>19</v>
      </c>
    </row>
    <row r="15" spans="1:2" x14ac:dyDescent="0.25">
      <c r="A15" s="1">
        <v>14</v>
      </c>
      <c r="B15" t="s">
        <v>19</v>
      </c>
    </row>
    <row r="16" spans="1:2" x14ac:dyDescent="0.25">
      <c r="A16" s="1">
        <v>15</v>
      </c>
      <c r="B16" t="s">
        <v>19</v>
      </c>
    </row>
    <row r="17" spans="1:2" x14ac:dyDescent="0.25">
      <c r="A17" s="1">
        <v>16</v>
      </c>
      <c r="B17" t="s">
        <v>19</v>
      </c>
    </row>
    <row r="18" spans="1:2" x14ac:dyDescent="0.25">
      <c r="A18" s="1">
        <v>17</v>
      </c>
      <c r="B18" t="s">
        <v>20</v>
      </c>
    </row>
    <row r="19" spans="1:2" x14ac:dyDescent="0.25">
      <c r="A19" s="1">
        <v>18</v>
      </c>
      <c r="B19" t="s">
        <v>20</v>
      </c>
    </row>
    <row r="20" spans="1:2" x14ac:dyDescent="0.25">
      <c r="A20" s="1">
        <v>19</v>
      </c>
      <c r="B20" t="s">
        <v>21</v>
      </c>
    </row>
    <row r="21" spans="1:2" x14ac:dyDescent="0.25">
      <c r="A21" s="1">
        <v>20</v>
      </c>
      <c r="B21" t="s">
        <v>21</v>
      </c>
    </row>
    <row r="22" spans="1:2" x14ac:dyDescent="0.25">
      <c r="A22" s="1">
        <v>21</v>
      </c>
      <c r="B22" t="s">
        <v>21</v>
      </c>
    </row>
    <row r="23" spans="1:2" x14ac:dyDescent="0.25">
      <c r="A23" s="1">
        <v>22</v>
      </c>
      <c r="B23" t="s">
        <v>21</v>
      </c>
    </row>
    <row r="24" spans="1:2" x14ac:dyDescent="0.25">
      <c r="A24" s="1">
        <v>23</v>
      </c>
      <c r="B24" t="s">
        <v>22</v>
      </c>
    </row>
    <row r="25" spans="1:2" x14ac:dyDescent="0.25">
      <c r="A25" s="1">
        <v>24</v>
      </c>
      <c r="B25" t="s">
        <v>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sheetPr>
  <dimension ref="A1:B21"/>
  <sheetViews>
    <sheetView workbookViewId="0">
      <pane ySplit="1" topLeftCell="A2" activePane="bottomLeft" state="frozen"/>
      <selection pane="bottomLeft"/>
    </sheetView>
  </sheetViews>
  <sheetFormatPr defaultRowHeight="15" x14ac:dyDescent="0.25"/>
  <cols>
    <col min="1" max="1" width="9.28515625" style="1" bestFit="1" customWidth="1"/>
    <col min="2" max="2" width="28.42578125" bestFit="1" customWidth="1"/>
    <col min="3" max="3" width="48.140625" bestFit="1" customWidth="1"/>
  </cols>
  <sheetData>
    <row r="1" spans="1:2" x14ac:dyDescent="0.25">
      <c r="A1" s="1" t="s">
        <v>0</v>
      </c>
      <c r="B1" t="s">
        <v>5</v>
      </c>
    </row>
    <row r="2" spans="1:2" x14ac:dyDescent="0.25">
      <c r="A2" s="1">
        <v>1</v>
      </c>
      <c r="B2" t="s">
        <v>23</v>
      </c>
    </row>
    <row r="3" spans="1:2" x14ac:dyDescent="0.25">
      <c r="A3" s="1">
        <v>2</v>
      </c>
      <c r="B3" t="s">
        <v>23</v>
      </c>
    </row>
    <row r="4" spans="1:2" x14ac:dyDescent="0.25">
      <c r="A4" s="1">
        <v>3</v>
      </c>
      <c r="B4" t="s">
        <v>24</v>
      </c>
    </row>
    <row r="5" spans="1:2" x14ac:dyDescent="0.25">
      <c r="A5" s="1">
        <v>4</v>
      </c>
      <c r="B5" t="s">
        <v>24</v>
      </c>
    </row>
    <row r="6" spans="1:2" x14ac:dyDescent="0.25">
      <c r="A6" s="1">
        <v>5</v>
      </c>
      <c r="B6" t="s">
        <v>24</v>
      </c>
    </row>
    <row r="7" spans="1:2" x14ac:dyDescent="0.25">
      <c r="A7" s="1">
        <v>6</v>
      </c>
      <c r="B7" t="s">
        <v>25</v>
      </c>
    </row>
    <row r="8" spans="1:2" x14ac:dyDescent="0.25">
      <c r="A8" s="1">
        <v>7</v>
      </c>
      <c r="B8" t="s">
        <v>25</v>
      </c>
    </row>
    <row r="9" spans="1:2" x14ac:dyDescent="0.25">
      <c r="A9" s="1">
        <v>8</v>
      </c>
      <c r="B9" t="s">
        <v>25</v>
      </c>
    </row>
    <row r="10" spans="1:2" x14ac:dyDescent="0.25">
      <c r="A10" s="1">
        <v>9</v>
      </c>
      <c r="B10" t="s">
        <v>25</v>
      </c>
    </row>
    <row r="11" spans="1:2" x14ac:dyDescent="0.25">
      <c r="A11" s="1">
        <v>10</v>
      </c>
      <c r="B11" t="s">
        <v>26</v>
      </c>
    </row>
    <row r="12" spans="1:2" x14ac:dyDescent="0.25">
      <c r="A12" s="1">
        <v>11</v>
      </c>
      <c r="B12" t="s">
        <v>26</v>
      </c>
    </row>
    <row r="13" spans="1:2" x14ac:dyDescent="0.25">
      <c r="A13" s="1">
        <v>12</v>
      </c>
      <c r="B13" t="s">
        <v>76</v>
      </c>
    </row>
    <row r="14" spans="1:2" x14ac:dyDescent="0.25">
      <c r="A14" s="1">
        <v>13</v>
      </c>
      <c r="B14" t="s">
        <v>76</v>
      </c>
    </row>
    <row r="15" spans="1:2" x14ac:dyDescent="0.25">
      <c r="A15" s="1">
        <v>14</v>
      </c>
      <c r="B15" t="s">
        <v>27</v>
      </c>
    </row>
    <row r="16" spans="1:2" x14ac:dyDescent="0.25">
      <c r="A16" s="1">
        <v>15</v>
      </c>
      <c r="B16" t="s">
        <v>28</v>
      </c>
    </row>
    <row r="17" spans="1:2" x14ac:dyDescent="0.25">
      <c r="A17" s="1">
        <v>16</v>
      </c>
      <c r="B17" t="s">
        <v>29</v>
      </c>
    </row>
    <row r="18" spans="1:2" x14ac:dyDescent="0.25">
      <c r="A18" s="1">
        <v>17</v>
      </c>
      <c r="B18" t="s">
        <v>30</v>
      </c>
    </row>
    <row r="19" spans="1:2" x14ac:dyDescent="0.25">
      <c r="A19" s="1">
        <v>18</v>
      </c>
      <c r="B19" t="s">
        <v>31</v>
      </c>
    </row>
    <row r="20" spans="1:2" x14ac:dyDescent="0.25">
      <c r="A20" s="1">
        <v>19</v>
      </c>
      <c r="B20" t="s">
        <v>32</v>
      </c>
    </row>
    <row r="21" spans="1:2" x14ac:dyDescent="0.25">
      <c r="A21" s="1">
        <v>20</v>
      </c>
      <c r="B21" t="s">
        <v>32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7" tint="0.39997558519241921"/>
  </sheetPr>
  <dimension ref="A1:B21"/>
  <sheetViews>
    <sheetView workbookViewId="0">
      <pane ySplit="1" topLeftCell="A2" activePane="bottomLeft" state="frozen"/>
      <selection pane="bottomLeft"/>
    </sheetView>
  </sheetViews>
  <sheetFormatPr defaultRowHeight="15" x14ac:dyDescent="0.25"/>
  <cols>
    <col min="1" max="1" width="6.42578125" style="1" bestFit="1" customWidth="1"/>
    <col min="2" max="2" width="40.85546875" bestFit="1" customWidth="1"/>
    <col min="3" max="3" width="64.85546875" bestFit="1" customWidth="1"/>
  </cols>
  <sheetData>
    <row r="1" spans="1:2" x14ac:dyDescent="0.25">
      <c r="A1" s="1" t="s">
        <v>0</v>
      </c>
      <c r="B1" t="s">
        <v>5</v>
      </c>
    </row>
    <row r="2" spans="1:2" x14ac:dyDescent="0.25">
      <c r="A2" s="1">
        <v>1</v>
      </c>
      <c r="B2" t="s">
        <v>33</v>
      </c>
    </row>
    <row r="3" spans="1:2" x14ac:dyDescent="0.25">
      <c r="A3" s="1">
        <v>2</v>
      </c>
      <c r="B3" t="s">
        <v>77</v>
      </c>
    </row>
    <row r="4" spans="1:2" x14ac:dyDescent="0.25">
      <c r="A4" s="1">
        <v>3</v>
      </c>
      <c r="B4" t="s">
        <v>77</v>
      </c>
    </row>
    <row r="5" spans="1:2" x14ac:dyDescent="0.25">
      <c r="A5" s="1">
        <v>4</v>
      </c>
      <c r="B5" t="s">
        <v>75</v>
      </c>
    </row>
    <row r="6" spans="1:2" x14ac:dyDescent="0.25">
      <c r="A6" s="1">
        <v>5</v>
      </c>
      <c r="B6" t="s">
        <v>75</v>
      </c>
    </row>
    <row r="7" spans="1:2" x14ac:dyDescent="0.25">
      <c r="A7" s="1">
        <v>6</v>
      </c>
      <c r="B7" t="s">
        <v>34</v>
      </c>
    </row>
    <row r="8" spans="1:2" x14ac:dyDescent="0.25">
      <c r="A8" s="1">
        <v>7</v>
      </c>
      <c r="B8" t="s">
        <v>35</v>
      </c>
    </row>
    <row r="9" spans="1:2" x14ac:dyDescent="0.25">
      <c r="A9" s="1">
        <v>8</v>
      </c>
      <c r="B9" t="s">
        <v>36</v>
      </c>
    </row>
    <row r="10" spans="1:2" x14ac:dyDescent="0.25">
      <c r="A10" s="1">
        <v>9</v>
      </c>
      <c r="B10" t="s">
        <v>36</v>
      </c>
    </row>
    <row r="11" spans="1:2" x14ac:dyDescent="0.25">
      <c r="A11" s="1">
        <v>10</v>
      </c>
      <c r="B11" t="s">
        <v>37</v>
      </c>
    </row>
    <row r="12" spans="1:2" x14ac:dyDescent="0.25">
      <c r="A12" s="1">
        <v>11</v>
      </c>
      <c r="B12" t="s">
        <v>38</v>
      </c>
    </row>
    <row r="13" spans="1:2" x14ac:dyDescent="0.25">
      <c r="A13" s="1">
        <v>12</v>
      </c>
      <c r="B13" t="s">
        <v>78</v>
      </c>
    </row>
    <row r="14" spans="1:2" x14ac:dyDescent="0.25">
      <c r="A14" s="1">
        <v>13</v>
      </c>
      <c r="B14" t="s">
        <v>78</v>
      </c>
    </row>
    <row r="15" spans="1:2" x14ac:dyDescent="0.25">
      <c r="A15" s="1">
        <v>14</v>
      </c>
      <c r="B15" t="s">
        <v>39</v>
      </c>
    </row>
    <row r="16" spans="1:2" x14ac:dyDescent="0.25">
      <c r="A16" s="1">
        <v>15</v>
      </c>
      <c r="B16" t="s">
        <v>39</v>
      </c>
    </row>
    <row r="17" spans="1:2" x14ac:dyDescent="0.25">
      <c r="A17" s="1">
        <v>16</v>
      </c>
      <c r="B17" t="s">
        <v>40</v>
      </c>
    </row>
    <row r="18" spans="1:2" x14ac:dyDescent="0.25">
      <c r="A18" s="1">
        <v>17</v>
      </c>
      <c r="B18" t="s">
        <v>41</v>
      </c>
    </row>
    <row r="19" spans="1:2" x14ac:dyDescent="0.25">
      <c r="A19" s="1">
        <v>18</v>
      </c>
      <c r="B19" t="s">
        <v>42</v>
      </c>
    </row>
    <row r="20" spans="1:2" x14ac:dyDescent="0.25">
      <c r="A20" s="1">
        <v>19</v>
      </c>
      <c r="B20" t="s">
        <v>43</v>
      </c>
    </row>
    <row r="21" spans="1:2" x14ac:dyDescent="0.25">
      <c r="A21" s="1">
        <v>20</v>
      </c>
      <c r="B21" t="s">
        <v>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0000"/>
  </sheetPr>
  <dimension ref="A1:B21"/>
  <sheetViews>
    <sheetView workbookViewId="0">
      <pane ySplit="1" topLeftCell="A2" activePane="bottomLeft" state="frozen"/>
      <selection pane="bottomLeft"/>
    </sheetView>
  </sheetViews>
  <sheetFormatPr defaultRowHeight="15" x14ac:dyDescent="0.25"/>
  <cols>
    <col min="1" max="1" width="6.42578125" style="1" bestFit="1" customWidth="1"/>
    <col min="2" max="2" width="45.42578125" bestFit="1" customWidth="1"/>
    <col min="3" max="3" width="71.140625" bestFit="1" customWidth="1"/>
  </cols>
  <sheetData>
    <row r="1" spans="1:2" x14ac:dyDescent="0.25">
      <c r="A1" s="1" t="s">
        <v>0</v>
      </c>
      <c r="B1" t="s">
        <v>5</v>
      </c>
    </row>
    <row r="2" spans="1:2" x14ac:dyDescent="0.25">
      <c r="A2" s="1">
        <v>1</v>
      </c>
      <c r="B2" t="s">
        <v>44</v>
      </c>
    </row>
    <row r="3" spans="1:2" x14ac:dyDescent="0.25">
      <c r="A3" s="1">
        <v>2</v>
      </c>
      <c r="B3" t="s">
        <v>44</v>
      </c>
    </row>
    <row r="4" spans="1:2" x14ac:dyDescent="0.25">
      <c r="A4" s="1">
        <v>3</v>
      </c>
      <c r="B4" t="s">
        <v>68</v>
      </c>
    </row>
    <row r="5" spans="1:2" x14ac:dyDescent="0.25">
      <c r="A5" s="1">
        <v>4</v>
      </c>
      <c r="B5" t="s">
        <v>38</v>
      </c>
    </row>
    <row r="6" spans="1:2" x14ac:dyDescent="0.25">
      <c r="A6" s="1">
        <v>5</v>
      </c>
      <c r="B6" t="s">
        <v>38</v>
      </c>
    </row>
    <row r="7" spans="1:2" x14ac:dyDescent="0.25">
      <c r="A7" s="1">
        <v>6</v>
      </c>
      <c r="B7" t="s">
        <v>45</v>
      </c>
    </row>
    <row r="8" spans="1:2" x14ac:dyDescent="0.25">
      <c r="A8" s="1">
        <v>7</v>
      </c>
      <c r="B8" t="s">
        <v>71</v>
      </c>
    </row>
    <row r="9" spans="1:2" x14ac:dyDescent="0.25">
      <c r="A9" s="1">
        <v>8</v>
      </c>
      <c r="B9" t="s">
        <v>46</v>
      </c>
    </row>
    <row r="10" spans="1:2" x14ac:dyDescent="0.25">
      <c r="A10" s="1">
        <v>9</v>
      </c>
      <c r="B10" t="s">
        <v>47</v>
      </c>
    </row>
    <row r="11" spans="1:2" x14ac:dyDescent="0.25">
      <c r="A11" s="1">
        <v>10</v>
      </c>
      <c r="B11" t="s">
        <v>69</v>
      </c>
    </row>
    <row r="12" spans="1:2" x14ac:dyDescent="0.25">
      <c r="A12" s="1">
        <v>11</v>
      </c>
      <c r="B12" t="s">
        <v>69</v>
      </c>
    </row>
    <row r="13" spans="1:2" x14ac:dyDescent="0.25">
      <c r="A13" s="1">
        <v>12</v>
      </c>
      <c r="B13" t="s">
        <v>48</v>
      </c>
    </row>
    <row r="14" spans="1:2" x14ac:dyDescent="0.25">
      <c r="A14" s="1">
        <v>13</v>
      </c>
      <c r="B14" t="s">
        <v>48</v>
      </c>
    </row>
    <row r="15" spans="1:2" x14ac:dyDescent="0.25">
      <c r="A15" s="1">
        <v>14</v>
      </c>
      <c r="B15" t="s">
        <v>70</v>
      </c>
    </row>
    <row r="16" spans="1:2" x14ac:dyDescent="0.25">
      <c r="A16" s="1">
        <v>15</v>
      </c>
      <c r="B16" t="s">
        <v>70</v>
      </c>
    </row>
    <row r="17" spans="1:2" x14ac:dyDescent="0.25">
      <c r="A17" s="1">
        <v>16</v>
      </c>
      <c r="B17" t="s">
        <v>49</v>
      </c>
    </row>
    <row r="18" spans="1:2" x14ac:dyDescent="0.25">
      <c r="A18" s="1">
        <v>17</v>
      </c>
      <c r="B18" t="s">
        <v>49</v>
      </c>
    </row>
    <row r="19" spans="1:2" x14ac:dyDescent="0.25">
      <c r="A19" s="1">
        <v>18</v>
      </c>
      <c r="B19" t="s">
        <v>50</v>
      </c>
    </row>
    <row r="20" spans="1:2" x14ac:dyDescent="0.25">
      <c r="A20" s="1">
        <v>19</v>
      </c>
      <c r="B20" t="s">
        <v>41</v>
      </c>
    </row>
    <row r="21" spans="1:2" x14ac:dyDescent="0.25">
      <c r="A21" s="1">
        <v>20</v>
      </c>
      <c r="B21" t="s">
        <v>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70C0"/>
  </sheetPr>
  <dimension ref="A1:B11"/>
  <sheetViews>
    <sheetView workbookViewId="0">
      <pane ySplit="1" topLeftCell="A2" activePane="bottomLeft" state="frozen"/>
      <selection pane="bottomLeft"/>
    </sheetView>
  </sheetViews>
  <sheetFormatPr defaultRowHeight="15" x14ac:dyDescent="0.25"/>
  <cols>
    <col min="1" max="1" width="6.42578125" style="1" bestFit="1" customWidth="1"/>
    <col min="2" max="2" width="29.42578125" bestFit="1" customWidth="1"/>
    <col min="3" max="3" width="53.42578125" bestFit="1" customWidth="1"/>
  </cols>
  <sheetData>
    <row r="1" spans="1:2" x14ac:dyDescent="0.25">
      <c r="A1" s="1" t="s">
        <v>0</v>
      </c>
      <c r="B1" t="s">
        <v>5</v>
      </c>
    </row>
    <row r="2" spans="1:2" x14ac:dyDescent="0.25">
      <c r="A2" s="1">
        <v>1</v>
      </c>
      <c r="B2" t="s">
        <v>73</v>
      </c>
    </row>
    <row r="3" spans="1:2" x14ac:dyDescent="0.25">
      <c r="A3" s="1">
        <v>2</v>
      </c>
      <c r="B3" t="s">
        <v>73</v>
      </c>
    </row>
    <row r="4" spans="1:2" x14ac:dyDescent="0.25">
      <c r="A4" s="1">
        <v>3</v>
      </c>
      <c r="B4" t="s">
        <v>53</v>
      </c>
    </row>
    <row r="5" spans="1:2" x14ac:dyDescent="0.25">
      <c r="A5" s="1">
        <v>4</v>
      </c>
      <c r="B5" t="s">
        <v>54</v>
      </c>
    </row>
    <row r="6" spans="1:2" x14ac:dyDescent="0.25">
      <c r="A6" s="1">
        <v>5</v>
      </c>
      <c r="B6" t="s">
        <v>55</v>
      </c>
    </row>
    <row r="7" spans="1:2" x14ac:dyDescent="0.25">
      <c r="A7" s="1">
        <v>6</v>
      </c>
      <c r="B7" t="s">
        <v>55</v>
      </c>
    </row>
    <row r="8" spans="1:2" x14ac:dyDescent="0.25">
      <c r="A8" s="1">
        <v>7</v>
      </c>
      <c r="B8" t="s">
        <v>74</v>
      </c>
    </row>
    <row r="9" spans="1:2" x14ac:dyDescent="0.25">
      <c r="A9" s="1">
        <v>8</v>
      </c>
      <c r="B9" t="s">
        <v>56</v>
      </c>
    </row>
    <row r="10" spans="1:2" x14ac:dyDescent="0.25">
      <c r="A10" s="1">
        <v>9</v>
      </c>
      <c r="B10" t="s">
        <v>57</v>
      </c>
    </row>
    <row r="11" spans="1:2" x14ac:dyDescent="0.25">
      <c r="A11" s="1">
        <v>10</v>
      </c>
      <c r="B11" t="s">
        <v>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114"/>
  <sheetViews>
    <sheetView zoomScale="70" zoomScaleNormal="70" workbookViewId="0">
      <pane ySplit="1" topLeftCell="A2" activePane="bottomLeft" state="frozen"/>
      <selection pane="bottomLeft"/>
    </sheetView>
  </sheetViews>
  <sheetFormatPr defaultRowHeight="142.9" customHeight="1" x14ac:dyDescent="0.25"/>
  <cols>
    <col min="1" max="1" width="44.7109375" bestFit="1" customWidth="1"/>
    <col min="2" max="2" width="21.5703125" style="19" customWidth="1"/>
    <col min="3" max="3" width="14.85546875" bestFit="1" customWidth="1"/>
    <col min="4" max="4" width="14.85546875" customWidth="1"/>
  </cols>
  <sheetData>
    <row r="1" spans="1:3" ht="15" x14ac:dyDescent="0.25">
      <c r="A1" s="4" t="s">
        <v>5</v>
      </c>
      <c r="B1" s="18" t="s">
        <v>65</v>
      </c>
      <c r="C1" s="4" t="s">
        <v>58</v>
      </c>
    </row>
    <row r="2" spans="1:3" ht="142.9" customHeight="1" x14ac:dyDescent="0.25">
      <c r="A2" t="s">
        <v>73</v>
      </c>
      <c r="C2" t="s">
        <v>64</v>
      </c>
    </row>
    <row r="3" spans="1:3" ht="142.9" customHeight="1" x14ac:dyDescent="0.25">
      <c r="A3" t="s">
        <v>73</v>
      </c>
      <c r="C3" t="s">
        <v>64</v>
      </c>
    </row>
    <row r="4" spans="1:3" ht="142.9" customHeight="1" x14ac:dyDescent="0.25">
      <c r="A4" t="s">
        <v>55</v>
      </c>
      <c r="C4" t="s">
        <v>64</v>
      </c>
    </row>
    <row r="5" spans="1:3" ht="142.9" customHeight="1" x14ac:dyDescent="0.25">
      <c r="A5" t="s">
        <v>55</v>
      </c>
      <c r="C5" t="s">
        <v>64</v>
      </c>
    </row>
    <row r="6" spans="1:3" ht="142.9" customHeight="1" x14ac:dyDescent="0.25">
      <c r="A6" t="s">
        <v>74</v>
      </c>
      <c r="C6" t="s">
        <v>64</v>
      </c>
    </row>
    <row r="7" spans="1:3" ht="142.9" customHeight="1" x14ac:dyDescent="0.25">
      <c r="A7" t="s">
        <v>56</v>
      </c>
      <c r="C7" t="s">
        <v>64</v>
      </c>
    </row>
    <row r="8" spans="1:3" ht="142.9" customHeight="1" x14ac:dyDescent="0.25">
      <c r="A8" t="s">
        <v>57</v>
      </c>
      <c r="C8" t="s">
        <v>64</v>
      </c>
    </row>
    <row r="9" spans="1:3" ht="142.9" customHeight="1" x14ac:dyDescent="0.25">
      <c r="A9" t="s">
        <v>57</v>
      </c>
      <c r="C9" t="s">
        <v>64</v>
      </c>
    </row>
    <row r="10" spans="1:3" ht="142.9" customHeight="1" x14ac:dyDescent="0.25">
      <c r="A10" t="s">
        <v>53</v>
      </c>
      <c r="C10" t="s">
        <v>64</v>
      </c>
    </row>
    <row r="11" spans="1:3" ht="142.9" customHeight="1" x14ac:dyDescent="0.25">
      <c r="A11" t="s">
        <v>54</v>
      </c>
      <c r="C11" t="s">
        <v>64</v>
      </c>
    </row>
    <row r="12" spans="1:3" ht="142.9" customHeight="1" x14ac:dyDescent="0.25">
      <c r="A12" t="s">
        <v>69</v>
      </c>
      <c r="C12" t="s">
        <v>63</v>
      </c>
    </row>
    <row r="13" spans="1:3" ht="142.9" customHeight="1" x14ac:dyDescent="0.25">
      <c r="A13" t="s">
        <v>69</v>
      </c>
      <c r="C13" t="s">
        <v>63</v>
      </c>
    </row>
    <row r="14" spans="1:3" ht="142.9" customHeight="1" x14ac:dyDescent="0.25">
      <c r="A14" t="s">
        <v>44</v>
      </c>
      <c r="C14" t="s">
        <v>63</v>
      </c>
    </row>
    <row r="15" spans="1:3" ht="142.9" customHeight="1" x14ac:dyDescent="0.25">
      <c r="A15" t="s">
        <v>44</v>
      </c>
      <c r="C15" t="s">
        <v>63</v>
      </c>
    </row>
    <row r="16" spans="1:3" ht="142.9" customHeight="1" x14ac:dyDescent="0.25">
      <c r="A16" t="s">
        <v>52</v>
      </c>
      <c r="C16" t="s">
        <v>63</v>
      </c>
    </row>
    <row r="17" spans="1:3" ht="142.9" customHeight="1" x14ac:dyDescent="0.25">
      <c r="A17" t="s">
        <v>49</v>
      </c>
      <c r="C17" t="s">
        <v>63</v>
      </c>
    </row>
    <row r="18" spans="1:3" ht="142.9" customHeight="1" x14ac:dyDescent="0.25">
      <c r="A18" t="s">
        <v>49</v>
      </c>
      <c r="C18" t="s">
        <v>63</v>
      </c>
    </row>
    <row r="19" spans="1:3" ht="142.9" customHeight="1" x14ac:dyDescent="0.25">
      <c r="A19" t="s">
        <v>50</v>
      </c>
      <c r="C19" t="s">
        <v>63</v>
      </c>
    </row>
    <row r="20" spans="1:3" ht="142.9" customHeight="1" x14ac:dyDescent="0.25">
      <c r="A20" t="s">
        <v>72</v>
      </c>
      <c r="C20" t="s">
        <v>63</v>
      </c>
    </row>
    <row r="21" spans="1:3" ht="142.9" customHeight="1" x14ac:dyDescent="0.25">
      <c r="A21" t="s">
        <v>71</v>
      </c>
      <c r="C21" t="s">
        <v>63</v>
      </c>
    </row>
    <row r="22" spans="1:3" ht="142.9" customHeight="1" x14ac:dyDescent="0.25">
      <c r="A22" t="s">
        <v>38</v>
      </c>
      <c r="C22" t="s">
        <v>63</v>
      </c>
    </row>
    <row r="23" spans="1:3" ht="142.9" customHeight="1" x14ac:dyDescent="0.25">
      <c r="A23" t="s">
        <v>38</v>
      </c>
      <c r="C23" t="s">
        <v>63</v>
      </c>
    </row>
    <row r="24" spans="1:3" ht="142.9" customHeight="1" x14ac:dyDescent="0.25">
      <c r="A24" t="s">
        <v>68</v>
      </c>
      <c r="C24" t="s">
        <v>63</v>
      </c>
    </row>
    <row r="25" spans="1:3" ht="142.9" customHeight="1" x14ac:dyDescent="0.25">
      <c r="A25" t="s">
        <v>45</v>
      </c>
      <c r="C25" t="s">
        <v>63</v>
      </c>
    </row>
    <row r="26" spans="1:3" ht="142.9" customHeight="1" x14ac:dyDescent="0.25">
      <c r="A26" t="s">
        <v>46</v>
      </c>
      <c r="C26" t="s">
        <v>63</v>
      </c>
    </row>
    <row r="27" spans="1:3" ht="142.9" customHeight="1" x14ac:dyDescent="0.25">
      <c r="A27" t="s">
        <v>48</v>
      </c>
      <c r="C27" t="s">
        <v>63</v>
      </c>
    </row>
    <row r="28" spans="1:3" ht="142.9" customHeight="1" x14ac:dyDescent="0.25">
      <c r="A28" t="s">
        <v>48</v>
      </c>
      <c r="C28" t="s">
        <v>63</v>
      </c>
    </row>
    <row r="29" spans="1:3" ht="142.9" customHeight="1" x14ac:dyDescent="0.25">
      <c r="A29" t="s">
        <v>70</v>
      </c>
      <c r="C29" t="s">
        <v>63</v>
      </c>
    </row>
    <row r="30" spans="1:3" ht="142.9" customHeight="1" x14ac:dyDescent="0.25">
      <c r="A30" t="s">
        <v>70</v>
      </c>
      <c r="C30" t="s">
        <v>63</v>
      </c>
    </row>
    <row r="31" spans="1:3" ht="142.9" customHeight="1" x14ac:dyDescent="0.25">
      <c r="A31" t="s">
        <v>47</v>
      </c>
      <c r="C31" t="s">
        <v>63</v>
      </c>
    </row>
    <row r="32" spans="1:3" ht="142.9" customHeight="1" x14ac:dyDescent="0.25">
      <c r="A32" t="s">
        <v>16</v>
      </c>
      <c r="C32" t="s">
        <v>60</v>
      </c>
    </row>
    <row r="33" spans="1:3" ht="142.9" customHeight="1" x14ac:dyDescent="0.25">
      <c r="A33" t="s">
        <v>16</v>
      </c>
      <c r="C33" t="s">
        <v>60</v>
      </c>
    </row>
    <row r="34" spans="1:3" ht="142.9" customHeight="1" x14ac:dyDescent="0.25">
      <c r="A34" t="s">
        <v>14</v>
      </c>
      <c r="C34" t="s">
        <v>60</v>
      </c>
    </row>
    <row r="35" spans="1:3" ht="142.9" customHeight="1" x14ac:dyDescent="0.25">
      <c r="A35" t="s">
        <v>14</v>
      </c>
      <c r="C35" t="s">
        <v>60</v>
      </c>
    </row>
    <row r="36" spans="1:3" ht="142.9" customHeight="1" x14ac:dyDescent="0.25">
      <c r="A36" t="s">
        <v>18</v>
      </c>
      <c r="C36" t="s">
        <v>60</v>
      </c>
    </row>
    <row r="37" spans="1:3" ht="142.9" customHeight="1" x14ac:dyDescent="0.25">
      <c r="A37" t="s">
        <v>18</v>
      </c>
      <c r="C37" t="s">
        <v>60</v>
      </c>
    </row>
    <row r="38" spans="1:3" ht="142.9" customHeight="1" x14ac:dyDescent="0.25">
      <c r="A38" t="s">
        <v>20</v>
      </c>
      <c r="C38" t="s">
        <v>60</v>
      </c>
    </row>
    <row r="39" spans="1:3" ht="142.9" customHeight="1" x14ac:dyDescent="0.25">
      <c r="A39" t="s">
        <v>20</v>
      </c>
      <c r="C39" t="s">
        <v>60</v>
      </c>
    </row>
    <row r="40" spans="1:3" ht="142.9" customHeight="1" x14ac:dyDescent="0.25">
      <c r="A40" t="s">
        <v>19</v>
      </c>
      <c r="C40" t="s">
        <v>60</v>
      </c>
    </row>
    <row r="41" spans="1:3" ht="142.9" customHeight="1" x14ac:dyDescent="0.25">
      <c r="A41" t="s">
        <v>19</v>
      </c>
      <c r="C41" t="s">
        <v>60</v>
      </c>
    </row>
    <row r="42" spans="1:3" ht="142.9" customHeight="1" x14ac:dyDescent="0.25">
      <c r="A42" t="s">
        <v>19</v>
      </c>
      <c r="C42" t="s">
        <v>60</v>
      </c>
    </row>
    <row r="43" spans="1:3" ht="142.9" customHeight="1" x14ac:dyDescent="0.25">
      <c r="A43" t="s">
        <v>19</v>
      </c>
      <c r="C43" t="s">
        <v>60</v>
      </c>
    </row>
    <row r="44" spans="1:3" ht="142.9" customHeight="1" x14ac:dyDescent="0.25">
      <c r="A44" t="s">
        <v>15</v>
      </c>
      <c r="C44" t="s">
        <v>60</v>
      </c>
    </row>
    <row r="45" spans="1:3" ht="142.9" customHeight="1" x14ac:dyDescent="0.25">
      <c r="A45" t="s">
        <v>15</v>
      </c>
      <c r="C45" t="s">
        <v>60</v>
      </c>
    </row>
    <row r="46" spans="1:3" ht="142.9" customHeight="1" x14ac:dyDescent="0.25">
      <c r="A46" t="s">
        <v>17</v>
      </c>
      <c r="C46" t="s">
        <v>60</v>
      </c>
    </row>
    <row r="47" spans="1:3" ht="142.9" customHeight="1" x14ac:dyDescent="0.25">
      <c r="A47" t="s">
        <v>17</v>
      </c>
      <c r="C47" t="s">
        <v>60</v>
      </c>
    </row>
    <row r="48" spans="1:3" ht="142.9" customHeight="1" x14ac:dyDescent="0.25">
      <c r="A48" t="s">
        <v>13</v>
      </c>
      <c r="C48" t="s">
        <v>60</v>
      </c>
    </row>
    <row r="49" spans="1:3" ht="142.9" customHeight="1" x14ac:dyDescent="0.25">
      <c r="A49" t="s">
        <v>13</v>
      </c>
      <c r="C49" t="s">
        <v>60</v>
      </c>
    </row>
    <row r="50" spans="1:3" ht="142.9" customHeight="1" x14ac:dyDescent="0.25">
      <c r="A50" t="s">
        <v>21</v>
      </c>
      <c r="C50" t="s">
        <v>60</v>
      </c>
    </row>
    <row r="51" spans="1:3" ht="142.9" customHeight="1" x14ac:dyDescent="0.25">
      <c r="A51" t="s">
        <v>21</v>
      </c>
      <c r="C51" t="s">
        <v>60</v>
      </c>
    </row>
    <row r="52" spans="1:3" ht="142.9" customHeight="1" x14ac:dyDescent="0.25">
      <c r="A52" t="s">
        <v>21</v>
      </c>
      <c r="C52" t="s">
        <v>60</v>
      </c>
    </row>
    <row r="53" spans="1:3" ht="142.9" customHeight="1" x14ac:dyDescent="0.25">
      <c r="A53" t="s">
        <v>21</v>
      </c>
      <c r="C53" t="s">
        <v>60</v>
      </c>
    </row>
    <row r="54" spans="1:3" ht="142.9" customHeight="1" x14ac:dyDescent="0.25">
      <c r="A54" t="s">
        <v>22</v>
      </c>
      <c r="C54" t="s">
        <v>60</v>
      </c>
    </row>
    <row r="55" spans="1:3" ht="142.9" customHeight="1" x14ac:dyDescent="0.25">
      <c r="A55" t="s">
        <v>22</v>
      </c>
      <c r="C55" t="s">
        <v>60</v>
      </c>
    </row>
    <row r="56" spans="1:3" ht="142.9" customHeight="1" x14ac:dyDescent="0.25">
      <c r="A56" t="s">
        <v>32</v>
      </c>
      <c r="C56" t="s">
        <v>61</v>
      </c>
    </row>
    <row r="57" spans="1:3" ht="142.9" customHeight="1" x14ac:dyDescent="0.25">
      <c r="A57" t="s">
        <v>32</v>
      </c>
      <c r="C57" t="s">
        <v>61</v>
      </c>
    </row>
    <row r="58" spans="1:3" ht="142.9" customHeight="1" x14ac:dyDescent="0.25">
      <c r="A58" t="s">
        <v>24</v>
      </c>
      <c r="C58" t="s">
        <v>61</v>
      </c>
    </row>
    <row r="59" spans="1:3" ht="142.9" customHeight="1" x14ac:dyDescent="0.25">
      <c r="A59" t="s">
        <v>24</v>
      </c>
      <c r="C59" t="s">
        <v>61</v>
      </c>
    </row>
    <row r="60" spans="1:3" ht="142.9" customHeight="1" x14ac:dyDescent="0.25">
      <c r="A60" t="s">
        <v>24</v>
      </c>
      <c r="C60" t="s">
        <v>61</v>
      </c>
    </row>
    <row r="61" spans="1:3" ht="142.9" customHeight="1" x14ac:dyDescent="0.25">
      <c r="A61" t="s">
        <v>27</v>
      </c>
      <c r="C61" t="s">
        <v>61</v>
      </c>
    </row>
    <row r="62" spans="1:3" ht="142.9" customHeight="1" x14ac:dyDescent="0.25">
      <c r="A62" t="s">
        <v>29</v>
      </c>
      <c r="C62" t="s">
        <v>61</v>
      </c>
    </row>
    <row r="63" spans="1:3" ht="142.9" customHeight="1" x14ac:dyDescent="0.25">
      <c r="A63" t="s">
        <v>28</v>
      </c>
      <c r="C63" t="s">
        <v>61</v>
      </c>
    </row>
    <row r="64" spans="1:3" ht="142.9" customHeight="1" x14ac:dyDescent="0.25">
      <c r="A64" t="s">
        <v>31</v>
      </c>
      <c r="C64" t="s">
        <v>61</v>
      </c>
    </row>
    <row r="65" spans="1:3" ht="142.9" customHeight="1" x14ac:dyDescent="0.25">
      <c r="A65" t="s">
        <v>26</v>
      </c>
      <c r="C65" t="s">
        <v>61</v>
      </c>
    </row>
    <row r="66" spans="1:3" ht="142.9" customHeight="1" x14ac:dyDescent="0.25">
      <c r="A66" t="s">
        <v>26</v>
      </c>
      <c r="C66" t="s">
        <v>61</v>
      </c>
    </row>
    <row r="67" spans="1:3" ht="142.9" customHeight="1" x14ac:dyDescent="0.25">
      <c r="A67" t="s">
        <v>76</v>
      </c>
      <c r="C67" t="s">
        <v>61</v>
      </c>
    </row>
    <row r="68" spans="1:3" ht="142.9" customHeight="1" x14ac:dyDescent="0.25">
      <c r="A68" t="s">
        <v>76</v>
      </c>
      <c r="C68" t="s">
        <v>61</v>
      </c>
    </row>
    <row r="69" spans="1:3" ht="142.9" customHeight="1" x14ac:dyDescent="0.25">
      <c r="A69" t="s">
        <v>25</v>
      </c>
      <c r="C69" t="s">
        <v>61</v>
      </c>
    </row>
    <row r="70" spans="1:3" ht="142.9" customHeight="1" x14ac:dyDescent="0.25">
      <c r="A70" t="s">
        <v>25</v>
      </c>
      <c r="C70" t="s">
        <v>61</v>
      </c>
    </row>
    <row r="71" spans="1:3" ht="142.9" customHeight="1" x14ac:dyDescent="0.25">
      <c r="A71" t="s">
        <v>25</v>
      </c>
      <c r="C71" t="s">
        <v>61</v>
      </c>
    </row>
    <row r="72" spans="1:3" ht="142.9" customHeight="1" x14ac:dyDescent="0.25">
      <c r="A72" t="s">
        <v>25</v>
      </c>
      <c r="C72" t="s">
        <v>61</v>
      </c>
    </row>
    <row r="73" spans="1:3" ht="142.9" customHeight="1" x14ac:dyDescent="0.25">
      <c r="A73" t="s">
        <v>23</v>
      </c>
      <c r="C73" t="s">
        <v>61</v>
      </c>
    </row>
    <row r="74" spans="1:3" ht="142.9" customHeight="1" x14ac:dyDescent="0.25">
      <c r="A74" t="s">
        <v>23</v>
      </c>
      <c r="C74" t="s">
        <v>61</v>
      </c>
    </row>
    <row r="75" spans="1:3" ht="142.9" customHeight="1" x14ac:dyDescent="0.25">
      <c r="A75" t="s">
        <v>30</v>
      </c>
      <c r="C75" t="s">
        <v>61</v>
      </c>
    </row>
    <row r="76" spans="1:3" ht="142.9" customHeight="1" x14ac:dyDescent="0.25">
      <c r="A76" t="s">
        <v>35</v>
      </c>
      <c r="C76" t="s">
        <v>62</v>
      </c>
    </row>
    <row r="77" spans="1:3" ht="142.9" customHeight="1" x14ac:dyDescent="0.25">
      <c r="A77" t="s">
        <v>39</v>
      </c>
      <c r="C77" t="s">
        <v>62</v>
      </c>
    </row>
    <row r="78" spans="1:3" ht="142.9" customHeight="1" x14ac:dyDescent="0.25">
      <c r="A78" t="s">
        <v>39</v>
      </c>
      <c r="C78" t="s">
        <v>62</v>
      </c>
    </row>
    <row r="79" spans="1:3" ht="142.9" customHeight="1" x14ac:dyDescent="0.25">
      <c r="A79" t="s">
        <v>43</v>
      </c>
      <c r="C79" t="s">
        <v>62</v>
      </c>
    </row>
    <row r="80" spans="1:3" ht="142.9" customHeight="1" x14ac:dyDescent="0.25">
      <c r="A80" t="s">
        <v>43</v>
      </c>
      <c r="C80" t="s">
        <v>62</v>
      </c>
    </row>
    <row r="81" spans="1:3" ht="142.9" customHeight="1" x14ac:dyDescent="0.25">
      <c r="A81" t="s">
        <v>42</v>
      </c>
      <c r="C81" t="s">
        <v>62</v>
      </c>
    </row>
    <row r="82" spans="1:3" ht="142.9" customHeight="1" x14ac:dyDescent="0.25">
      <c r="A82" t="s">
        <v>41</v>
      </c>
      <c r="C82" t="s">
        <v>62</v>
      </c>
    </row>
    <row r="83" spans="1:3" ht="142.9" customHeight="1" x14ac:dyDescent="0.25">
      <c r="A83" t="s">
        <v>78</v>
      </c>
      <c r="C83" t="s">
        <v>62</v>
      </c>
    </row>
    <row r="84" spans="1:3" ht="142.9" customHeight="1" x14ac:dyDescent="0.25">
      <c r="A84" t="s">
        <v>78</v>
      </c>
      <c r="C84" t="s">
        <v>62</v>
      </c>
    </row>
    <row r="85" spans="1:3" ht="142.9" customHeight="1" x14ac:dyDescent="0.25">
      <c r="A85" t="s">
        <v>37</v>
      </c>
      <c r="C85" t="s">
        <v>62</v>
      </c>
    </row>
    <row r="86" spans="1:3" ht="142.9" customHeight="1" x14ac:dyDescent="0.25">
      <c r="A86" t="s">
        <v>38</v>
      </c>
      <c r="C86" t="s">
        <v>62</v>
      </c>
    </row>
    <row r="87" spans="1:3" ht="142.9" customHeight="1" x14ac:dyDescent="0.25">
      <c r="A87" t="s">
        <v>36</v>
      </c>
      <c r="C87" t="s">
        <v>62</v>
      </c>
    </row>
    <row r="88" spans="1:3" ht="142.9" customHeight="1" x14ac:dyDescent="0.25">
      <c r="A88" t="s">
        <v>36</v>
      </c>
      <c r="C88" t="s">
        <v>62</v>
      </c>
    </row>
    <row r="89" spans="1:3" ht="142.9" customHeight="1" x14ac:dyDescent="0.25">
      <c r="A89" t="s">
        <v>40</v>
      </c>
      <c r="C89" t="s">
        <v>62</v>
      </c>
    </row>
    <row r="90" spans="1:3" ht="142.9" customHeight="1" x14ac:dyDescent="0.25">
      <c r="A90" t="s">
        <v>77</v>
      </c>
      <c r="C90" t="s">
        <v>62</v>
      </c>
    </row>
    <row r="91" spans="1:3" ht="142.9" customHeight="1" x14ac:dyDescent="0.25">
      <c r="A91" t="s">
        <v>77</v>
      </c>
      <c r="C91" t="s">
        <v>62</v>
      </c>
    </row>
    <row r="92" spans="1:3" ht="142.9" customHeight="1" x14ac:dyDescent="0.25">
      <c r="A92" t="s">
        <v>34</v>
      </c>
      <c r="C92" t="s">
        <v>62</v>
      </c>
    </row>
    <row r="93" spans="1:3" ht="142.9" customHeight="1" x14ac:dyDescent="0.25">
      <c r="A93" t="s">
        <v>75</v>
      </c>
      <c r="C93" t="s">
        <v>62</v>
      </c>
    </row>
    <row r="94" spans="1:3" ht="142.9" customHeight="1" x14ac:dyDescent="0.25">
      <c r="A94" t="s">
        <v>75</v>
      </c>
      <c r="C94" t="s">
        <v>62</v>
      </c>
    </row>
    <row r="95" spans="1:3" ht="142.9" customHeight="1" x14ac:dyDescent="0.25">
      <c r="A95" t="s">
        <v>33</v>
      </c>
      <c r="C95" t="s">
        <v>62</v>
      </c>
    </row>
    <row r="96" spans="1:3" ht="142.9" customHeight="1" x14ac:dyDescent="0.25">
      <c r="A96" t="s">
        <v>9</v>
      </c>
      <c r="C96" t="s">
        <v>59</v>
      </c>
    </row>
    <row r="97" spans="1:3" ht="142.9" customHeight="1" x14ac:dyDescent="0.25">
      <c r="A97" t="s">
        <v>9</v>
      </c>
      <c r="C97" t="s">
        <v>59</v>
      </c>
    </row>
    <row r="98" spans="1:3" ht="142.9" customHeight="1" x14ac:dyDescent="0.25">
      <c r="A98" t="s">
        <v>11</v>
      </c>
      <c r="C98" t="s">
        <v>59</v>
      </c>
    </row>
    <row r="99" spans="1:3" ht="142.9" customHeight="1" x14ac:dyDescent="0.25">
      <c r="A99" t="s">
        <v>11</v>
      </c>
      <c r="C99" t="s">
        <v>59</v>
      </c>
    </row>
    <row r="100" spans="1:3" ht="142.9" customHeight="1" x14ac:dyDescent="0.25">
      <c r="A100" t="s">
        <v>12</v>
      </c>
      <c r="C100" t="s">
        <v>59</v>
      </c>
    </row>
    <row r="101" spans="1:3" ht="142.9" customHeight="1" x14ac:dyDescent="0.25">
      <c r="A101" t="s">
        <v>12</v>
      </c>
      <c r="C101" t="s">
        <v>59</v>
      </c>
    </row>
    <row r="102" spans="1:3" ht="142.9" customHeight="1" x14ac:dyDescent="0.25">
      <c r="A102" t="s">
        <v>12</v>
      </c>
      <c r="C102" t="s">
        <v>59</v>
      </c>
    </row>
    <row r="103" spans="1:3" ht="142.9" customHeight="1" x14ac:dyDescent="0.25">
      <c r="A103" t="s">
        <v>6</v>
      </c>
      <c r="C103" t="s">
        <v>59</v>
      </c>
    </row>
    <row r="104" spans="1:3" ht="142.9" customHeight="1" x14ac:dyDescent="0.25">
      <c r="A104" t="s">
        <v>6</v>
      </c>
      <c r="C104" t="s">
        <v>59</v>
      </c>
    </row>
    <row r="105" spans="1:3" ht="142.9" customHeight="1" x14ac:dyDescent="0.25">
      <c r="A105" t="s">
        <v>6</v>
      </c>
      <c r="C105" t="s">
        <v>59</v>
      </c>
    </row>
    <row r="106" spans="1:3" ht="142.9" customHeight="1" x14ac:dyDescent="0.25">
      <c r="A106" t="s">
        <v>6</v>
      </c>
      <c r="C106" t="s">
        <v>59</v>
      </c>
    </row>
    <row r="107" spans="1:3" ht="142.9" customHeight="1" x14ac:dyDescent="0.25">
      <c r="A107" t="s">
        <v>6</v>
      </c>
      <c r="C107" t="s">
        <v>59</v>
      </c>
    </row>
    <row r="108" spans="1:3" ht="142.9" customHeight="1" x14ac:dyDescent="0.25">
      <c r="A108" t="s">
        <v>6</v>
      </c>
      <c r="C108" t="s">
        <v>59</v>
      </c>
    </row>
    <row r="109" spans="1:3" ht="142.9" customHeight="1" x14ac:dyDescent="0.25">
      <c r="A109" t="s">
        <v>6</v>
      </c>
      <c r="C109" t="s">
        <v>59</v>
      </c>
    </row>
    <row r="110" spans="1:3" ht="142.9" customHeight="1" x14ac:dyDescent="0.25">
      <c r="A110" t="s">
        <v>10</v>
      </c>
      <c r="C110" t="s">
        <v>59</v>
      </c>
    </row>
    <row r="111" spans="1:3" ht="142.9" customHeight="1" x14ac:dyDescent="0.25">
      <c r="A111" t="s">
        <v>8</v>
      </c>
      <c r="C111" t="s">
        <v>59</v>
      </c>
    </row>
    <row r="112" spans="1:3" ht="142.9" customHeight="1" x14ac:dyDescent="0.25">
      <c r="A112" t="s">
        <v>8</v>
      </c>
      <c r="C112" t="s">
        <v>59</v>
      </c>
    </row>
    <row r="113" spans="1:3" ht="142.9" customHeight="1" x14ac:dyDescent="0.25">
      <c r="A113" t="s">
        <v>7</v>
      </c>
      <c r="C113" t="s">
        <v>59</v>
      </c>
    </row>
    <row r="114" spans="1:3" ht="142.9" customHeight="1" x14ac:dyDescent="0.25">
      <c r="A114" t="s">
        <v>7</v>
      </c>
      <c r="C114" t="s">
        <v>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105</vt:i4>
      </vt:variant>
    </vt:vector>
  </HeadingPairs>
  <TitlesOfParts>
    <vt:vector size="120" baseType="lpstr">
      <vt:lpstr>Instructions</vt:lpstr>
      <vt:lpstr>Shuffler</vt:lpstr>
      <vt:lpstr>Scavenge</vt:lpstr>
      <vt:lpstr>Loot</vt:lpstr>
      <vt:lpstr>LT</vt:lpstr>
      <vt:lpstr>MT</vt:lpstr>
      <vt:lpstr>HT</vt:lpstr>
      <vt:lpstr>ET</vt:lpstr>
      <vt:lpstr>Scavenge Deck</vt:lpstr>
      <vt:lpstr>Loot Deck</vt:lpstr>
      <vt:lpstr>LT Deck</vt:lpstr>
      <vt:lpstr>MT Deck</vt:lpstr>
      <vt:lpstr>HT Deck</vt:lpstr>
      <vt:lpstr>ET Deck</vt:lpstr>
      <vt:lpstr>PictureIndex</vt:lpstr>
      <vt:lpstr>Blood_Money</vt:lpstr>
      <vt:lpstr>Cash</vt:lpstr>
      <vt:lpstr>Chilling_Dread</vt:lpstr>
      <vt:lpstr>Coins</vt:lpstr>
      <vt:lpstr>Dark_Stone_Rock</vt:lpstr>
      <vt:lpstr>Dark_Stone_Shard</vt:lpstr>
      <vt:lpstr>Decks</vt:lpstr>
      <vt:lpstr>Elite_Threat_Cards</vt:lpstr>
      <vt:lpstr>Emerging_Darkness</vt:lpstr>
      <vt:lpstr>et_001.jpg</vt:lpstr>
      <vt:lpstr>et_002.jpg</vt:lpstr>
      <vt:lpstr>et_003.jpg</vt:lpstr>
      <vt:lpstr>et_004.jpg</vt:lpstr>
      <vt:lpstr>et_005.jpg</vt:lpstr>
      <vt:lpstr>et_006.jpg</vt:lpstr>
      <vt:lpstr>et_007.jpg</vt:lpstr>
      <vt:lpstr>Gold_Bars</vt:lpstr>
      <vt:lpstr>Gold_Nuggets</vt:lpstr>
      <vt:lpstr>Goliath_and_Threat_Card</vt:lpstr>
      <vt:lpstr>Goliath_and_Threat_Cards</vt:lpstr>
      <vt:lpstr>Harbinger_and_Low_Threat_Cards</vt:lpstr>
      <vt:lpstr>Harbinger_and_Threat_Card</vt:lpstr>
      <vt:lpstr>Hellbats</vt:lpstr>
      <vt:lpstr>Hideous_Discovery</vt:lpstr>
      <vt:lpstr>ht_001.jpg</vt:lpstr>
      <vt:lpstr>ht_002.jpg</vt:lpstr>
      <vt:lpstr>ht_003.jpg</vt:lpstr>
      <vt:lpstr>ht_004.jpg</vt:lpstr>
      <vt:lpstr>ht_005.jpg</vt:lpstr>
      <vt:lpstr>ht_006.jpg</vt:lpstr>
      <vt:lpstr>ht_008.jpg</vt:lpstr>
      <vt:lpstr>ht_009.jpg</vt:lpstr>
      <vt:lpstr>ht_010.jpg</vt:lpstr>
      <vt:lpstr>ht_011.jpg</vt:lpstr>
      <vt:lpstr>ht_012.jpg</vt:lpstr>
      <vt:lpstr>Hungry_Dead_and_1_Corpse_Pile</vt:lpstr>
      <vt:lpstr>Hungry_Dead_and_2_Corpse_Piles</vt:lpstr>
      <vt:lpstr>loot_001.jpg</vt:lpstr>
      <vt:lpstr>loot_002.jpg</vt:lpstr>
      <vt:lpstr>loot_003.jpg</vt:lpstr>
      <vt:lpstr>loot_004.jpg</vt:lpstr>
      <vt:lpstr>loot_005.jpg</vt:lpstr>
      <vt:lpstr>loot_006.jpg</vt:lpstr>
      <vt:lpstr>loot_007.jpg</vt:lpstr>
      <vt:lpstr>loot_008.jpg</vt:lpstr>
      <vt:lpstr>loot_009.jpg</vt:lpstr>
      <vt:lpstr>loot_010.jpg</vt:lpstr>
      <vt:lpstr>Low_Threat_Cards</vt:lpstr>
      <vt:lpstr>lt_001.jpg</vt:lpstr>
      <vt:lpstr>lt_002.jpg</vt:lpstr>
      <vt:lpstr>lt_003.jpg</vt:lpstr>
      <vt:lpstr>lt_004.jpg</vt:lpstr>
      <vt:lpstr>lt_005.jpg</vt:lpstr>
      <vt:lpstr>lt_006.jpg</vt:lpstr>
      <vt:lpstr>lt_007.jpg</vt:lpstr>
      <vt:lpstr>lt_008.jpg</vt:lpstr>
      <vt:lpstr>lt_009.jpg</vt:lpstr>
      <vt:lpstr>lt_010.jpg</vt:lpstr>
      <vt:lpstr>lt_011.jpg</vt:lpstr>
      <vt:lpstr>Medium_Threat_Cards</vt:lpstr>
      <vt:lpstr>mt_001.jpg</vt:lpstr>
      <vt:lpstr>mt_002.jpg</vt:lpstr>
      <vt:lpstr>mt_003.jpg</vt:lpstr>
      <vt:lpstr>mt_004.jpg</vt:lpstr>
      <vt:lpstr>mt_005.jpg</vt:lpstr>
      <vt:lpstr>mt_007.jpg</vt:lpstr>
      <vt:lpstr>Night_Terror</vt:lpstr>
      <vt:lpstr>Night_Terror_and_Low_Threat_Cards</vt:lpstr>
      <vt:lpstr>Night_Terror_and_Medium_Threat_Card</vt:lpstr>
      <vt:lpstr>Night_Terror_and_Stranglers</vt:lpstr>
      <vt:lpstr>Night_Terror_and_Void_Spiders</vt:lpstr>
      <vt:lpstr>Night_Terrors</vt:lpstr>
      <vt:lpstr>Night_Terrors_and_Stranglers</vt:lpstr>
      <vt:lpstr>Night_Terrors_and_Threat_Cards</vt:lpstr>
      <vt:lpstr>Nothing_Here</vt:lpstr>
      <vt:lpstr>Sack_of_Gold_Dust</vt:lpstr>
      <vt:lpstr>scavenge_001.jpg</vt:lpstr>
      <vt:lpstr>scavenge_002.jpg</vt:lpstr>
      <vt:lpstr>scavenge_003.jpg</vt:lpstr>
      <vt:lpstr>scavenge_004.jpg</vt:lpstr>
      <vt:lpstr>scavenge_005.jpg</vt:lpstr>
      <vt:lpstr>scavenge_006.jpg</vt:lpstr>
      <vt:lpstr>scavenge_007.jpg</vt:lpstr>
      <vt:lpstr>Slasher</vt:lpstr>
      <vt:lpstr>Slasher_and_Hell_Bats</vt:lpstr>
      <vt:lpstr>Slasher_and_Hellbats</vt:lpstr>
      <vt:lpstr>Slasher_and_Hungry_Dead_and_Corpse_Piles</vt:lpstr>
      <vt:lpstr>Slasher_and_Low_Threat_Card</vt:lpstr>
      <vt:lpstr>Slasher_and_Low_Threat_Cards</vt:lpstr>
      <vt:lpstr>Slasher_and_Medium_Threat_Card</vt:lpstr>
      <vt:lpstr>Slashers</vt:lpstr>
      <vt:lpstr>Slashers_and_Threat_Cards</vt:lpstr>
      <vt:lpstr>Small_Find</vt:lpstr>
      <vt:lpstr>Something_Shiny</vt:lpstr>
      <vt:lpstr>Stranglers</vt:lpstr>
      <vt:lpstr>Stranglers_and_Tentacles_and_Void_Spiders</vt:lpstr>
      <vt:lpstr>Stranglers_and_Void_Spiders</vt:lpstr>
      <vt:lpstr>Tentacles</vt:lpstr>
      <vt:lpstr>Tentacles_and_Hellbats</vt:lpstr>
      <vt:lpstr>Tentacles_and_Hungry_Dead_and_Corpse_Piles</vt:lpstr>
      <vt:lpstr>This_Should_Come_In_Handy</vt:lpstr>
      <vt:lpstr>Useful_Discovery</vt:lpstr>
      <vt:lpstr>Void_Spiders</vt:lpstr>
      <vt:lpstr>Void_Spiders_and_Stranglers</vt:lpstr>
      <vt:lpstr>What_s_This?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Darrell Jones</dc:creator>
  <cp:lastModifiedBy>Darrell Jones</cp:lastModifiedBy>
  <dcterms:created xsi:type="dcterms:W3CDTF">2015-08-17T14:10:02Z</dcterms:created>
  <dcterms:modified xsi:type="dcterms:W3CDTF">2015-09-04T19:53:18Z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bcbb77f1-932a-4ea7-893a-9e494d07ba85</vt:lpwstr>
  </property>
</Properties>
</file>